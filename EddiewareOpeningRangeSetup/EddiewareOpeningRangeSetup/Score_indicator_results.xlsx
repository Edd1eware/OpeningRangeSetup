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5440" windowHeight="1527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\+0.##;\-0.##;0"/>
    <numFmt numFmtId="165" formatCode="+0.##;-0.##;0"/>
  </numFmts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1" pivotButton="0" quotePrefix="0" xfId="0"/>
    <xf numFmtId="10" fontId="0" fillId="0" borderId="1" pivotButton="0" quotePrefix="0" xfId="0"/>
    <xf numFmtId="2" fontId="0" fillId="0" borderId="1" pivotButton="0" quotePrefix="0" xfId="0"/>
    <xf numFmtId="0" fontId="1" fillId="2" borderId="1" pivotButton="0" quotePrefix="0" xfId="0"/>
    <xf numFmtId="0" fontId="1" fillId="2" borderId="0" pivotButton="0" quotePrefix="0" xfId="0"/>
    <xf numFmtId="164" fontId="0" fillId="0" borderId="1" pivotButton="0" quotePrefix="0" xfId="0"/>
    <xf numFmtId="164" fontId="0" fillId="0" borderId="0" pivotButton="0" quotePrefix="0" xfId="0"/>
    <xf numFmtId="0" fontId="2" fillId="3" borderId="1" pivotButton="0" quotePrefix="0" xfId="0"/>
    <xf numFmtId="0" fontId="2" fillId="3" borderId="0" pivotButton="0" quotePrefix="0" xfId="0"/>
    <xf numFmtId="165" fontId="0" fillId="0" borderId="1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8"/>
  <sheetViews>
    <sheetView tabSelected="1" workbookViewId="0">
      <selection activeCell="A3" sqref="A3:P10"/>
    </sheetView>
  </sheetViews>
  <sheetFormatPr baseColWidth="10" defaultRowHeight="15"/>
  <cols>
    <col width="12" customWidth="1" min="1" max="3"/>
    <col width="12" customWidth="1" min="2" max="2"/>
    <col width="12" customWidth="1" min="3" max="3"/>
    <col width="10" customWidth="1" min="4" max="4"/>
    <col width="14" customWidth="1" min="5" max="5"/>
    <col width="10" customWidth="1" min="6" max="6"/>
    <col width="14" customWidth="1" min="7" max="8"/>
    <col width="14" customWidth="1" min="8" max="8"/>
    <col width="12" bestFit="1" customWidth="1" min="9" max="9"/>
    <col width="12" customWidth="1" min="10" max="13"/>
    <col width="12" customWidth="1" min="11" max="11"/>
    <col width="12" customWidth="1" min="12" max="12"/>
    <col width="16" customWidth="1" min="13" max="13"/>
    <col width="10" customWidth="1" min="14" max="14"/>
    <col width="10" customWidth="1" min="15" max="17"/>
    <col width="10" customWidth="1" min="16" max="16"/>
    <col width="10" customWidth="1" min="17" max="17"/>
  </cols>
  <sheetData>
    <row r="1">
      <c r="A1" s="1" t="inlineStr">
        <is>
          <t>win rate</t>
        </is>
      </c>
      <c r="B1" s="1" t="inlineStr">
        <is>
          <t>profit factor</t>
        </is>
      </c>
    </row>
    <row r="2">
      <c r="A2" s="2">
        <f>IF((COUNTIF(N4:N6,"&gt;0")+COUNTIF(N4:N6,"&lt;0"))=0,"",COUNTIF(N4:N6,"&gt;0")/(COUNTIF(N4:N6,"&gt;0")+COUNTIF(N4:N6,"&lt;0")))</f>
        <v/>
      </c>
      <c r="B2" s="3">
        <f>IF(ABS(SUMIF(N4:N6,"&lt;0",N4:N6))=0,IF(SUMIF(N4:N6,"&gt;0",N4:N6)&gt;0,"INF",""),SUMIF(N4:N6,"&gt;0",N4:N6)/ABS(SUMIF(N4:N6,"&lt;0",N4:N6)))</f>
        <v/>
      </c>
    </row>
    <row r="3">
      <c r="A3" s="8" t="inlineStr">
        <is>
          <t>fecha</t>
        </is>
      </c>
      <c r="B3" s="8" t="inlineStr">
        <is>
          <t>or_low</t>
        </is>
      </c>
      <c r="C3" s="8" t="inlineStr">
        <is>
          <t>or_high</t>
        </is>
      </c>
      <c r="D3" s="8" t="inlineStr">
        <is>
          <t>range</t>
        </is>
      </c>
      <c r="E3" s="8" t="inlineStr">
        <is>
          <t>VWAP_entry</t>
        </is>
      </c>
      <c r="F3" s="8" t="inlineStr">
        <is>
          <t>Body</t>
        </is>
      </c>
      <c r="G3" s="8" t="inlineStr">
        <is>
          <t>Volume_entry</t>
        </is>
      </c>
      <c r="H3" s="8" t="inlineStr">
        <is>
          <t>Delta_entry</t>
        </is>
      </c>
      <c r="I3" s="8" t="inlineStr">
        <is>
          <t>BreakOut_SPEED</t>
        </is>
      </c>
      <c r="J3" s="8" t="inlineStr">
        <is>
          <t>score total</t>
        </is>
      </c>
      <c r="K3" s="8" t="inlineStr">
        <is>
          <t>SL_price</t>
        </is>
      </c>
      <c r="L3" s="8" t="inlineStr">
        <is>
          <t>Entry_price</t>
        </is>
      </c>
      <c r="M3" s="8" t="inlineStr">
        <is>
          <t>TP_price</t>
        </is>
      </c>
      <c r="N3" s="8" t="inlineStr">
        <is>
          <t>result TP SL BE</t>
        </is>
      </c>
      <c r="O3" s="9" t="inlineStr">
        <is>
          <t>Side</t>
        </is>
      </c>
      <c r="P3" s="9" t="inlineStr">
        <is>
          <t>MAE_ticks</t>
        </is>
      </c>
      <c r="Q3" s="9" t="inlineStr">
        <is>
          <t>MFE_ticks</t>
        </is>
      </c>
      <c r="R3" s="9" t="inlineStr">
        <is>
          <t>BreakOut_TICKS_PER_SEC</t>
        </is>
      </c>
      <c r="S3" s="9" t="inlineStr">
        <is>
          <t>SL_ticks</t>
        </is>
      </c>
      <c r="T3" s="9" t="inlineStr">
        <is>
          <t>TP_ticks</t>
        </is>
      </c>
      <c r="U3" s="9" t="inlineStr">
        <is>
          <t>Speed_Profile</t>
        </is>
      </c>
      <c r="V3" s="9" t="inlineStr">
        <is>
          <t>Exporter_VERSION</t>
        </is>
      </c>
      <c r="W3" s="9" t="inlineStr">
        <is>
          <t>EntryTime_NY</t>
        </is>
      </c>
      <c r="X3" s="9" t="inlineStr">
        <is>
          <t>EntryBar</t>
        </is>
      </c>
      <c r="Y3" s="9" t="inlineStr">
        <is>
          <t>Speed_Elapsed_SECONDS</t>
        </is>
      </c>
      <c r="Z3" s="9" t="inlineStr">
        <is>
          <t>Speed_Replay_Fallback</t>
        </is>
      </c>
      <c r="AA3" s="9" t="inlineStr">
        <is>
          <t>Speed_Timing_Source</t>
        </is>
      </c>
      <c r="AB3" s="9" t="inlineStr">
        <is>
          <t>Range_OK</t>
        </is>
      </c>
      <c r="AC3" s="9" t="inlineStr">
        <is>
          <t>Body_OK</t>
        </is>
      </c>
      <c r="AD3" s="9" t="inlineStr">
        <is>
          <t>Volume_OK</t>
        </is>
      </c>
      <c r="AE3" s="9" t="inlineStr">
        <is>
          <t>Delta_OK</t>
        </is>
      </c>
      <c r="AF3" s="9" t="inlineStr">
        <is>
          <t>Time_OK</t>
        </is>
      </c>
      <c r="AG3" s="9" t="inlineStr">
        <is>
          <t>VWAP_OK</t>
        </is>
      </c>
      <c r="AH3" s="9" t="inlineStr">
        <is>
          <t>Speed_OK</t>
        </is>
      </c>
      <c r="AI3" s="9" t="inlineStr">
        <is>
          <t>Result_Label</t>
        </is>
      </c>
    </row>
    <row r="4">
      <c r="A4" s="1" t="inlineStr">
        <is>
          <t>2026-05-13</t>
        </is>
      </c>
      <c r="B4" s="1" t="n">
        <v>29252.5</v>
      </c>
      <c r="C4" s="1" t="n">
        <v>29288.75</v>
      </c>
      <c r="D4" s="1" t="n">
        <v>145</v>
      </c>
      <c r="E4" s="1" t="n">
        <v>29321.36</v>
      </c>
      <c r="F4" s="1" t="n">
        <v>35</v>
      </c>
      <c r="G4" s="1" t="n">
        <v>1113</v>
      </c>
      <c r="H4" s="1" t="n">
        <v>-175</v>
      </c>
      <c r="I4" s="1" t="inlineStr">
        <is>
          <t>normal speed</t>
        </is>
      </c>
      <c r="J4" s="1" t="n">
        <v>7</v>
      </c>
      <c r="K4" s="1" t="n">
        <v>29258.75</v>
      </c>
      <c r="L4" s="1" t="n">
        <v>29243.75</v>
      </c>
      <c r="M4" s="1" t="n">
        <v>29213.75</v>
      </c>
      <c r="N4" s="10" t="n">
        <v>-60</v>
      </c>
      <c r="O4" t="inlineStr">
        <is>
          <t>SELL</t>
        </is>
      </c>
      <c r="P4" t="n">
        <v>100</v>
      </c>
      <c r="Q4" t="n">
        <v>10</v>
      </c>
      <c r="R4" t="n">
        <v>2.08</v>
      </c>
      <c r="S4" t="n">
        <v>60</v>
      </c>
      <c r="T4" t="n">
        <v>120</v>
      </c>
      <c r="U4" t="inlineStr">
        <is>
          <t>SELL1</t>
        </is>
      </c>
      <c r="V4" t="inlineStr">
        <is>
          <t>score-exporter-debug-2026-05-22-e-x10</t>
        </is>
      </c>
      <c r="W4" t="inlineStr">
        <is>
          <t>09:31:00</t>
        </is>
      </c>
      <c r="X4" t="n">
        <v>2311</v>
      </c>
      <c r="Y4" t="n">
        <v>16.8109</v>
      </c>
      <c r="Z4" t="inlineStr">
        <is>
          <t>FALSE</t>
        </is>
      </c>
      <c r="AA4" t="inlineStr">
        <is>
          <t>LastTime</t>
        </is>
      </c>
      <c r="AB4" t="inlineStr">
        <is>
          <t>TRUE</t>
        </is>
      </c>
      <c r="AC4" t="inlineStr">
        <is>
          <t>TRUE</t>
        </is>
      </c>
      <c r="AD4" t="inlineStr">
        <is>
          <t>TRUE</t>
        </is>
      </c>
      <c r="AE4" t="inlineStr">
        <is>
          <t>TRUE</t>
        </is>
      </c>
      <c r="AF4" t="inlineStr">
        <is>
          <t>TRUE</t>
        </is>
      </c>
      <c r="AG4" t="inlineStr">
        <is>
          <t>TRUE</t>
        </is>
      </c>
      <c r="AH4" t="inlineStr">
        <is>
          <t>TRUE</t>
        </is>
      </c>
      <c r="AI4" t="inlineStr">
        <is>
          <t>SL</t>
        </is>
      </c>
    </row>
    <row r="5">
      <c r="A5" t="inlineStr">
        <is>
          <t>2026-05-14</t>
        </is>
      </c>
      <c r="B5" t="n">
        <v>29460</v>
      </c>
      <c r="C5" t="n">
        <v>29492.5</v>
      </c>
      <c r="D5" t="n">
        <v>130</v>
      </c>
      <c r="E5" t="n">
        <v>29543.51</v>
      </c>
      <c r="F5" t="n">
        <v>65</v>
      </c>
      <c r="G5" t="n">
        <v>801</v>
      </c>
      <c r="H5" t="n">
        <v>263</v>
      </c>
      <c r="I5" t="inlineStr">
        <is>
          <t>A+ speed</t>
        </is>
      </c>
      <c r="J5" t="n">
        <v>5</v>
      </c>
      <c r="K5" t="n">
        <v>29490</v>
      </c>
      <c r="L5" t="n">
        <v>29515</v>
      </c>
      <c r="M5" t="n">
        <v>29545</v>
      </c>
      <c r="N5" s="11" t="n">
        <v>120</v>
      </c>
      <c r="O5" t="inlineStr">
        <is>
          <t>BUY</t>
        </is>
      </c>
      <c r="P5" t="n">
        <v>65</v>
      </c>
      <c r="Q5" t="n">
        <v>120</v>
      </c>
      <c r="R5" t="n">
        <v>11.01</v>
      </c>
      <c r="S5" t="n">
        <v>100</v>
      </c>
      <c r="T5" t="n">
        <v>120</v>
      </c>
      <c r="U5" t="inlineStr">
        <is>
          <t>BUY</t>
        </is>
      </c>
      <c r="V5" t="inlineStr">
        <is>
          <t>score-exporter-debug-2026-05-22-e-x10</t>
        </is>
      </c>
      <c r="W5" t="inlineStr">
        <is>
          <t>09:32:00</t>
        </is>
      </c>
      <c r="X5" t="n">
        <v>2312</v>
      </c>
      <c r="Y5" t="n">
        <v>5.9038</v>
      </c>
      <c r="Z5" t="inlineStr">
        <is>
          <t>FALSE</t>
        </is>
      </c>
      <c r="AA5" t="inlineStr">
        <is>
          <t>LastTime</t>
        </is>
      </c>
      <c r="AB5" t="inlineStr">
        <is>
          <t>TRUE</t>
        </is>
      </c>
      <c r="AC5" t="inlineStr">
        <is>
          <t>TRUE</t>
        </is>
      </c>
      <c r="AD5" t="inlineStr">
        <is>
          <t>TRUE</t>
        </is>
      </c>
      <c r="AE5" t="inlineStr">
        <is>
          <t>TRUE</t>
        </is>
      </c>
      <c r="AF5" t="inlineStr">
        <is>
          <t>TRUE</t>
        </is>
      </c>
      <c r="AG5" t="inlineStr">
        <is>
          <t>FALSE</t>
        </is>
      </c>
      <c r="AH5" t="inlineStr">
        <is>
          <t>TRUE</t>
        </is>
      </c>
      <c r="AI5" t="inlineStr">
        <is>
          <t>TP</t>
        </is>
      </c>
    </row>
    <row r="6">
      <c r="A6" t="inlineStr">
        <is>
          <t>2026-05-15</t>
        </is>
      </c>
      <c r="B6" t="n">
        <v>29241.25</v>
      </c>
      <c r="C6" t="n">
        <v>29291.25</v>
      </c>
      <c r="D6" t="n">
        <v>200</v>
      </c>
      <c r="E6" t="n">
        <v>29294.96</v>
      </c>
      <c r="F6" t="n">
        <v>10</v>
      </c>
      <c r="G6" t="n">
        <v>367</v>
      </c>
      <c r="H6" t="n">
        <v>-145</v>
      </c>
      <c r="I6" t="inlineStr">
        <is>
          <t>normal speed</t>
        </is>
      </c>
      <c r="J6" t="n">
        <v>6</v>
      </c>
      <c r="K6" t="n">
        <v>29253.75</v>
      </c>
      <c r="L6" t="n">
        <v>29238.75</v>
      </c>
      <c r="M6" t="n">
        <v>29208.75</v>
      </c>
      <c r="N6" s="11" t="n">
        <v>-60</v>
      </c>
      <c r="O6" t="inlineStr">
        <is>
          <t>SELL</t>
        </is>
      </c>
      <c r="P6" t="n">
        <v>80</v>
      </c>
      <c r="Q6" t="n">
        <v>15</v>
      </c>
      <c r="R6" t="n">
        <v>4.64</v>
      </c>
      <c r="S6" t="n">
        <v>60</v>
      </c>
      <c r="T6" t="n">
        <v>120</v>
      </c>
      <c r="U6" t="inlineStr">
        <is>
          <t>SELL1</t>
        </is>
      </c>
      <c r="V6" t="inlineStr">
        <is>
          <t>score-exporter-debug-2026-05-22-e-x10</t>
        </is>
      </c>
      <c r="W6" t="inlineStr">
        <is>
          <t>09:31:00</t>
        </is>
      </c>
      <c r="X6" t="n">
        <v>2311</v>
      </c>
      <c r="Y6" t="n">
        <v>2.1573</v>
      </c>
      <c r="Z6" t="inlineStr">
        <is>
          <t>FALSE</t>
        </is>
      </c>
      <c r="AA6" t="inlineStr">
        <is>
          <t>LastTime</t>
        </is>
      </c>
      <c r="AB6" t="inlineStr">
        <is>
          <t>TRUE</t>
        </is>
      </c>
      <c r="AC6" t="inlineStr">
        <is>
          <t>TRUE</t>
        </is>
      </c>
      <c r="AD6" t="inlineStr">
        <is>
          <t>FALSE</t>
        </is>
      </c>
      <c r="AE6" t="inlineStr">
        <is>
          <t>TRUE</t>
        </is>
      </c>
      <c r="AF6" t="inlineStr">
        <is>
          <t>TRUE</t>
        </is>
      </c>
      <c r="AG6" t="inlineStr">
        <is>
          <t>TRUE</t>
        </is>
      </c>
      <c r="AH6" t="inlineStr">
        <is>
          <t>TRUE</t>
        </is>
      </c>
      <c r="AI6" t="inlineStr">
        <is>
          <t>SL</t>
        </is>
      </c>
    </row>
    <row r="7">
      <c r="A7" t="inlineStr">
        <is>
          <t>2026-05-14</t>
        </is>
      </c>
      <c r="B7" t="n">
        <v>29460</v>
      </c>
      <c r="C7" t="n">
        <v>29492.5</v>
      </c>
      <c r="D7" t="n">
        <v>130</v>
      </c>
      <c r="E7" t="n">
        <v>29543.51</v>
      </c>
      <c r="F7" t="n">
        <v>65</v>
      </c>
      <c r="G7" t="n">
        <v>801</v>
      </c>
      <c r="H7" t="n">
        <v>263</v>
      </c>
      <c r="I7" t="inlineStr">
        <is>
          <t>A+ speed</t>
        </is>
      </c>
      <c r="J7" t="n">
        <v>5</v>
      </c>
      <c r="K7" t="n">
        <v>29490</v>
      </c>
      <c r="L7" t="n">
        <v>29515</v>
      </c>
      <c r="M7" t="n">
        <v>29545</v>
      </c>
      <c r="N7" s="11" t="n">
        <v>120</v>
      </c>
      <c r="O7" t="inlineStr">
        <is>
          <t>BUY</t>
        </is>
      </c>
      <c r="P7" t="n">
        <v>65</v>
      </c>
      <c r="Q7" t="n">
        <v>120</v>
      </c>
      <c r="R7" t="n">
        <v>11.01</v>
      </c>
      <c r="S7" t="n">
        <v>100</v>
      </c>
      <c r="T7" t="n">
        <v>120</v>
      </c>
      <c r="U7" t="inlineStr">
        <is>
          <t>BUY</t>
        </is>
      </c>
      <c r="V7" t="inlineStr">
        <is>
          <t>score-exporter-debug-2026-05-22-f-x10-exit-priority</t>
        </is>
      </c>
      <c r="W7" t="inlineStr">
        <is>
          <t>09:32:00</t>
        </is>
      </c>
      <c r="X7" t="n">
        <v>2312</v>
      </c>
      <c r="Y7" t="n">
        <v>5.9038</v>
      </c>
      <c r="Z7" t="inlineStr">
        <is>
          <t>FALSE</t>
        </is>
      </c>
      <c r="AA7" t="inlineStr">
        <is>
          <t>LastTime</t>
        </is>
      </c>
      <c r="AB7" t="inlineStr">
        <is>
          <t>TRUE</t>
        </is>
      </c>
      <c r="AC7" t="inlineStr">
        <is>
          <t>TRUE</t>
        </is>
      </c>
      <c r="AD7" t="inlineStr">
        <is>
          <t>TRUE</t>
        </is>
      </c>
      <c r="AE7" t="inlineStr">
        <is>
          <t>TRUE</t>
        </is>
      </c>
      <c r="AF7" t="inlineStr">
        <is>
          <t>TRUE</t>
        </is>
      </c>
      <c r="AG7" t="inlineStr">
        <is>
          <t>FALSE</t>
        </is>
      </c>
      <c r="AH7" t="inlineStr">
        <is>
          <t>TRUE</t>
        </is>
      </c>
      <c r="AI7" t="inlineStr">
        <is>
          <t>TP</t>
        </is>
      </c>
    </row>
    <row r="8">
      <c r="A8" t="inlineStr">
        <is>
          <t>2026-05-15</t>
        </is>
      </c>
      <c r="B8" t="n">
        <v>29241.25</v>
      </c>
      <c r="C8" t="n">
        <v>29291.25</v>
      </c>
      <c r="D8" t="n">
        <v>200</v>
      </c>
      <c r="E8" t="n">
        <v>29294.95</v>
      </c>
      <c r="F8" t="n">
        <v>15</v>
      </c>
      <c r="G8" t="n">
        <v>418</v>
      </c>
      <c r="H8" t="n">
        <v>-178</v>
      </c>
      <c r="I8" t="inlineStr">
        <is>
          <t>A+ speed</t>
        </is>
      </c>
      <c r="J8" t="n">
        <v>6</v>
      </c>
      <c r="K8" t="n">
        <v>29262.5</v>
      </c>
      <c r="L8" t="n">
        <v>29237.5</v>
      </c>
      <c r="M8" t="n">
        <v>29207.5</v>
      </c>
      <c r="N8" s="11" t="n">
        <v>120</v>
      </c>
      <c r="O8" t="inlineStr">
        <is>
          <t>SELL</t>
        </is>
      </c>
      <c r="P8" t="n">
        <v>85</v>
      </c>
      <c r="Q8" t="n">
        <v>125</v>
      </c>
      <c r="R8" t="n">
        <v>6.65</v>
      </c>
      <c r="S8" t="n">
        <v>100</v>
      </c>
      <c r="T8" t="n">
        <v>120</v>
      </c>
      <c r="U8" t="inlineStr">
        <is>
          <t>SELL</t>
        </is>
      </c>
      <c r="V8" t="inlineStr">
        <is>
          <t>score-exporter-debug-2026-05-22-f-x10-exit-priority</t>
        </is>
      </c>
      <c r="W8" t="inlineStr">
        <is>
          <t>09:31:00</t>
        </is>
      </c>
      <c r="X8" t="n">
        <v>2311</v>
      </c>
      <c r="Y8" t="n">
        <v>2.2549</v>
      </c>
      <c r="Z8" t="inlineStr">
        <is>
          <t>FALSE</t>
        </is>
      </c>
      <c r="AA8" t="inlineStr">
        <is>
          <t>LastTime</t>
        </is>
      </c>
      <c r="AB8" t="inlineStr">
        <is>
          <t>TRUE</t>
        </is>
      </c>
      <c r="AC8" t="inlineStr">
        <is>
          <t>TRUE</t>
        </is>
      </c>
      <c r="AD8" t="inlineStr">
        <is>
          <t>FALSE</t>
        </is>
      </c>
      <c r="AE8" t="inlineStr">
        <is>
          <t>TRUE</t>
        </is>
      </c>
      <c r="AF8" t="inlineStr">
        <is>
          <t>TRUE</t>
        </is>
      </c>
      <c r="AG8" t="inlineStr">
        <is>
          <t>TRUE</t>
        </is>
      </c>
      <c r="AH8" t="inlineStr">
        <is>
          <t>TRUE</t>
        </is>
      </c>
      <c r="AI8" t="inlineStr">
        <is>
          <t>TP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Eduardo</dc:creator>
  <dcterms:created xsi:type="dcterms:W3CDTF">2026-05-22T17:56:51Z</dcterms:created>
  <dcterms:modified xsi:type="dcterms:W3CDTF">2026-05-22T22:07:50Z</dcterms:modified>
  <cp:lastModifiedBy>Eduardo</cp:lastModifiedBy>
</cp:coreProperties>
</file>