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##;-0.##;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win rate</t>
        </is>
      </c>
      <c r="B1" t="inlineStr">
        <is>
          <t>profit factor</t>
        </is>
      </c>
    </row>
    <row r="2">
      <c r="A2" s="1">
        <f>IF((COUNTIF(R4:R7,"&gt;0")+COUNTIF(R4:R7,"&lt;0"))=0,"",COUNTIF(R4:R7,"&gt;0")/(COUNTIF(R4:R7,"&gt;0")+COUNTIF(R4:R7,"&lt;0")))</f>
        <v/>
      </c>
      <c r="B2" s="2">
        <f>IF(ABS(SUMIF(R4:R7,"&lt;0",R4:R7))=0,IF(SUMIF(R4:R7,"&gt;0",R4:R7)&gt;0,"INF",""),SUMIF(R4:R7,"&gt;0",R4:R7)/ABS(SUMIF(R4:R7,"&lt;0",R4:R7)))</f>
        <v/>
      </c>
    </row>
    <row r="3">
      <c r="A3" s="3" t="inlineStr">
        <is>
          <t>fecha</t>
        </is>
      </c>
      <c r="B3" s="3" t="inlineStr">
        <is>
          <t>or_low</t>
        </is>
      </c>
      <c r="C3" s="3" t="inlineStr">
        <is>
          <t>or_high</t>
        </is>
      </c>
      <c r="D3" s="3" t="inlineStr">
        <is>
          <t>range</t>
        </is>
      </c>
      <c r="E3" s="3" t="inlineStr">
        <is>
          <t>VWAP_entry</t>
        </is>
      </c>
      <c r="F3" s="3" t="inlineStr">
        <is>
          <t>Body</t>
        </is>
      </c>
      <c r="G3" s="3" t="inlineStr">
        <is>
          <t>Volume_entry</t>
        </is>
      </c>
      <c r="H3" s="3" t="inlineStr">
        <is>
          <t>Delta_entry</t>
        </is>
      </c>
      <c r="I3" s="3" t="inlineStr">
        <is>
          <t>BreakOut_SPEED</t>
        </is>
      </c>
      <c r="J3" s="3" t="inlineStr">
        <is>
          <t>BreakOut_TICKS_PER_SEC</t>
        </is>
      </c>
      <c r="K3" s="3" t="inlineStr">
        <is>
          <t>score total</t>
        </is>
      </c>
      <c r="L3" s="3" t="inlineStr">
        <is>
          <t>SL_price</t>
        </is>
      </c>
      <c r="M3" s="3" t="inlineStr">
        <is>
          <t>Entry_price</t>
        </is>
      </c>
      <c r="N3" s="3" t="inlineStr">
        <is>
          <t>TP_price</t>
        </is>
      </c>
      <c r="O3" s="3" t="inlineStr">
        <is>
          <t>SL_ticks</t>
        </is>
      </c>
      <c r="P3" s="3" t="inlineStr">
        <is>
          <t>TP_ticks</t>
        </is>
      </c>
      <c r="Q3" s="3" t="inlineStr">
        <is>
          <t>Exit_price</t>
        </is>
      </c>
      <c r="R3" s="3" t="inlineStr">
        <is>
          <t>result TP SL BE</t>
        </is>
      </c>
      <c r="S3" s="3" t="inlineStr">
        <is>
          <t>Side</t>
        </is>
      </c>
      <c r="T3" s="3" t="inlineStr">
        <is>
          <t>Speed_Profile</t>
        </is>
      </c>
      <c r="U3" s="3" t="inlineStr">
        <is>
          <t>MAE_ticks</t>
        </is>
      </c>
      <c r="V3" s="3" t="inlineStr">
        <is>
          <t>MFE_ticks</t>
        </is>
      </c>
      <c r="W3" s="3" t="inlineStr">
        <is>
          <t>Exporter_VERSION</t>
        </is>
      </c>
      <c r="X3" s="3" t="inlineStr">
        <is>
          <t>EntryTime_NY</t>
        </is>
      </c>
      <c r="Y3" s="3" t="inlineStr">
        <is>
          <t>EntryBar</t>
        </is>
      </c>
      <c r="Z3" s="3" t="inlineStr">
        <is>
          <t>Speed_Elapsed_SECONDS</t>
        </is>
      </c>
      <c r="AA3" s="3" t="inlineStr">
        <is>
          <t>Speed_Replay_Fallback</t>
        </is>
      </c>
      <c r="AB3" s="3" t="inlineStr">
        <is>
          <t>Speed_Timing_Source</t>
        </is>
      </c>
      <c r="AC3" s="3" t="inlineStr">
        <is>
          <t>Range_OK</t>
        </is>
      </c>
      <c r="AD3" s="3" t="inlineStr">
        <is>
          <t>Body_OK</t>
        </is>
      </c>
      <c r="AE3" s="3" t="inlineStr">
        <is>
          <t>Volume_OK</t>
        </is>
      </c>
      <c r="AF3" s="3" t="inlineStr">
        <is>
          <t>Delta_OK</t>
        </is>
      </c>
      <c r="AG3" s="3" t="inlineStr">
        <is>
          <t>Time_OK</t>
        </is>
      </c>
      <c r="AH3" s="3" t="inlineStr">
        <is>
          <t>VWAP_OK</t>
        </is>
      </c>
      <c r="AI3" s="3" t="inlineStr">
        <is>
          <t>Speed_OK</t>
        </is>
      </c>
      <c r="AJ3" s="3" t="inlineStr">
        <is>
          <t>Result_Label</t>
        </is>
      </c>
      <c r="AK3" s="3" t="inlineStr">
        <is>
          <t>APlus_Structure</t>
        </is>
      </c>
      <c r="AL3" s="3" t="inlineStr">
        <is>
          <t>Imbalance_Group_3</t>
        </is>
      </c>
      <c r="AM3" s="3" t="inlineStr">
        <is>
          <t>Imbalance_Group_Price</t>
        </is>
      </c>
      <c r="AN3" s="3" t="inlineStr">
        <is>
          <t>Imbalance_Count</t>
        </is>
      </c>
      <c r="AO3" s="3" t="inlineStr">
        <is>
          <t>Speed_Ignored_By_Structure</t>
        </is>
      </c>
    </row>
    <row r="4">
      <c r="A4" t="inlineStr">
        <is>
          <t>2026-04-22</t>
        </is>
      </c>
      <c r="B4" t="n">
        <v>26852.5</v>
      </c>
      <c r="C4" t="n">
        <v>26893.75</v>
      </c>
      <c r="D4" t="n">
        <v>165</v>
      </c>
      <c r="E4" t="n">
        <v>26841.85</v>
      </c>
      <c r="F4" t="n">
        <v>70</v>
      </c>
      <c r="G4" t="n">
        <v>1313</v>
      </c>
      <c r="H4" t="n">
        <v>-117</v>
      </c>
      <c r="I4" t="inlineStr">
        <is>
          <t>normal speed</t>
        </is>
      </c>
      <c r="J4" t="n">
        <v>2.1</v>
      </c>
      <c r="K4" t="n">
        <v>8</v>
      </c>
      <c r="L4" t="n">
        <v>26836.25</v>
      </c>
      <c r="M4" t="n">
        <v>26821.25</v>
      </c>
      <c r="N4" t="n">
        <v>26806.25</v>
      </c>
      <c r="O4" t="n">
        <v>60</v>
      </c>
      <c r="P4" t="n">
        <v>60</v>
      </c>
      <c r="Q4" t="n">
        <v>26836.25</v>
      </c>
      <c r="R4" s="4" t="n">
        <v>-60</v>
      </c>
      <c r="S4" t="inlineStr">
        <is>
          <t>SELL</t>
        </is>
      </c>
      <c r="T4" t="inlineStr">
        <is>
          <t>SCALP_NORMAL</t>
        </is>
      </c>
      <c r="U4" t="n">
        <v>65</v>
      </c>
      <c r="V4" t="n">
        <v>30</v>
      </c>
      <c r="W4" t="inlineStr">
        <is>
          <t>score-exporter-2026-05-30-aplus-structure-export</t>
        </is>
      </c>
      <c r="X4" t="inlineStr">
        <is>
          <t>09:33:00</t>
        </is>
      </c>
      <c r="Y4" t="n">
        <v>2312</v>
      </c>
      <c r="Z4" t="n">
        <v>33.3476</v>
      </c>
      <c r="AA4" t="inlineStr">
        <is>
          <t>FALSE</t>
        </is>
      </c>
      <c r="AB4" t="inlineStr">
        <is>
          <t>LastTime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SL</t>
        </is>
      </c>
      <c r="AK4" t="inlineStr">
        <is>
          <t>TRUE</t>
        </is>
      </c>
      <c r="AL4" t="inlineStr">
        <is>
          <t>SELL</t>
        </is>
      </c>
      <c r="AM4" t="n">
        <v>26852.5</v>
      </c>
      <c r="AN4" t="n">
        <v>3</v>
      </c>
      <c r="AO4" t="inlineStr">
        <is>
          <t>FALSE</t>
        </is>
      </c>
    </row>
    <row r="5">
      <c r="A5" t="inlineStr">
        <is>
          <t>2026-05-13</t>
        </is>
      </c>
      <c r="B5" t="n">
        <v>29252.5</v>
      </c>
      <c r="C5" t="n">
        <v>29288.75</v>
      </c>
      <c r="D5" t="n">
        <v>145</v>
      </c>
      <c r="E5" t="n">
        <v>29321.36</v>
      </c>
      <c r="F5" t="n">
        <v>35</v>
      </c>
      <c r="G5" t="n">
        <v>1113</v>
      </c>
      <c r="H5" t="n">
        <v>-175</v>
      </c>
      <c r="I5" t="inlineStr">
        <is>
          <t>normal speed</t>
        </is>
      </c>
      <c r="J5" t="n">
        <v>2.08</v>
      </c>
      <c r="K5" t="n">
        <v>8</v>
      </c>
      <c r="L5" t="n">
        <v>29258.75</v>
      </c>
      <c r="M5" t="n">
        <v>29243.75</v>
      </c>
      <c r="N5" t="n">
        <v>29228.75</v>
      </c>
      <c r="O5" t="n">
        <v>60</v>
      </c>
      <c r="P5" t="n">
        <v>60</v>
      </c>
      <c r="Q5" t="n">
        <v>29228.75</v>
      </c>
      <c r="R5" s="4" t="n">
        <v>60</v>
      </c>
      <c r="S5" t="inlineStr">
        <is>
          <t>SELL</t>
        </is>
      </c>
      <c r="T5" t="inlineStr">
        <is>
          <t>SCALP_NORMAL</t>
        </is>
      </c>
      <c r="U5" t="n">
        <v>0</v>
      </c>
      <c r="V5" t="n">
        <v>60</v>
      </c>
      <c r="W5" t="inlineStr">
        <is>
          <t>score-exporter-2026-05-30-aplus-structure-export</t>
        </is>
      </c>
      <c r="X5" t="inlineStr">
        <is>
          <t>09:31:00</t>
        </is>
      </c>
      <c r="Y5" t="n">
        <v>2311</v>
      </c>
      <c r="Z5" t="n">
        <v>16.8109</v>
      </c>
      <c r="AA5" t="inlineStr">
        <is>
          <t>FALSE</t>
        </is>
      </c>
      <c r="AB5" t="inlineStr">
        <is>
          <t>LastTime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TP</t>
        </is>
      </c>
      <c r="AK5" t="inlineStr">
        <is>
          <t>FALSE</t>
        </is>
      </c>
      <c r="AN5" t="n">
        <v>0</v>
      </c>
      <c r="AO5" t="inlineStr">
        <is>
          <t>FALSE</t>
        </is>
      </c>
    </row>
    <row r="6">
      <c r="A6" t="inlineStr">
        <is>
          <t>2026-05-14</t>
        </is>
      </c>
      <c r="B6" t="n">
        <v>29460</v>
      </c>
      <c r="C6" t="n">
        <v>29492.5</v>
      </c>
      <c r="D6" t="n">
        <v>130</v>
      </c>
      <c r="E6" t="n">
        <v>29543.5</v>
      </c>
      <c r="F6" t="n">
        <v>60</v>
      </c>
      <c r="G6" t="n">
        <v>804</v>
      </c>
      <c r="H6" t="n">
        <v>262</v>
      </c>
      <c r="I6" t="inlineStr">
        <is>
          <t>A+ speed</t>
        </is>
      </c>
      <c r="J6" t="n">
        <v>10.04</v>
      </c>
      <c r="K6" t="n">
        <v>7</v>
      </c>
      <c r="L6" t="n">
        <v>29498.75</v>
      </c>
      <c r="M6" t="n">
        <v>29513.75</v>
      </c>
      <c r="N6" t="n">
        <v>29528.75</v>
      </c>
      <c r="O6" t="n">
        <v>60</v>
      </c>
      <c r="P6" t="n">
        <v>60</v>
      </c>
      <c r="Q6" t="n">
        <v>29528.75</v>
      </c>
      <c r="R6" s="4" t="n">
        <v>60</v>
      </c>
      <c r="S6" t="inlineStr">
        <is>
          <t>BUY</t>
        </is>
      </c>
      <c r="T6" t="inlineStr">
        <is>
          <t>POTENTIAL_RUNNER</t>
        </is>
      </c>
      <c r="U6" t="n">
        <v>15</v>
      </c>
      <c r="V6" t="n">
        <v>65</v>
      </c>
      <c r="W6" t="inlineStr">
        <is>
          <t>score-exporter-2026-05-30-aplus-structure-export</t>
        </is>
      </c>
      <c r="X6" t="inlineStr">
        <is>
          <t>09:32:00</t>
        </is>
      </c>
      <c r="Y6" t="n">
        <v>2312</v>
      </c>
      <c r="Z6" t="n">
        <v>5.9788</v>
      </c>
      <c r="AA6" t="inlineStr">
        <is>
          <t>FALSE</t>
        </is>
      </c>
      <c r="AB6" t="inlineStr">
        <is>
          <t>LastTime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FALSE</t>
        </is>
      </c>
      <c r="AI6" t="inlineStr">
        <is>
          <t>TRUE</t>
        </is>
      </c>
      <c r="AJ6" t="inlineStr">
        <is>
          <t>TP</t>
        </is>
      </c>
      <c r="AK6" t="inlineStr">
        <is>
          <t>TRUE</t>
        </is>
      </c>
      <c r="AL6" t="inlineStr">
        <is>
          <t>BUY</t>
        </is>
      </c>
      <c r="AM6" t="n">
        <v>29501.25</v>
      </c>
      <c r="AN6" t="n">
        <v>3</v>
      </c>
      <c r="AO6" t="inlineStr">
        <is>
          <t>FALSE</t>
        </is>
      </c>
    </row>
    <row r="7">
      <c r="A7" t="inlineStr">
        <is>
          <t>2026-05-15</t>
        </is>
      </c>
      <c r="B7" t="n">
        <v>29241.25</v>
      </c>
      <c r="C7" t="n">
        <v>29291.25</v>
      </c>
      <c r="D7" t="n">
        <v>200</v>
      </c>
      <c r="E7" t="n">
        <v>29294.78</v>
      </c>
      <c r="F7" t="n">
        <v>90</v>
      </c>
      <c r="G7" t="n">
        <v>814</v>
      </c>
      <c r="H7" t="n">
        <v>-358</v>
      </c>
      <c r="I7" t="inlineStr">
        <is>
          <t>A+ speed</t>
        </is>
      </c>
      <c r="J7" t="n">
        <v>18.05</v>
      </c>
      <c r="K7" t="n">
        <v>9</v>
      </c>
      <c r="L7" t="n">
        <v>29233.75</v>
      </c>
      <c r="M7" t="n">
        <v>29218.75</v>
      </c>
      <c r="N7" t="n">
        <v>29203.75</v>
      </c>
      <c r="O7" t="n">
        <v>60</v>
      </c>
      <c r="P7" t="n">
        <v>60</v>
      </c>
      <c r="Q7" t="n">
        <v>29203.75</v>
      </c>
      <c r="R7" s="4" t="n">
        <v>60</v>
      </c>
      <c r="S7" t="inlineStr">
        <is>
          <t>SELL</t>
        </is>
      </c>
      <c r="T7" t="inlineStr">
        <is>
          <t>POTENTIAL_RUNNER</t>
        </is>
      </c>
      <c r="U7" t="n">
        <v>25</v>
      </c>
      <c r="V7" t="n">
        <v>60</v>
      </c>
      <c r="W7" t="inlineStr">
        <is>
          <t>score-exporter-2026-05-30-aplus-structure-export</t>
        </is>
      </c>
      <c r="X7" t="inlineStr">
        <is>
          <t>09:31:00</t>
        </is>
      </c>
      <c r="Y7" t="n">
        <v>2311</v>
      </c>
      <c r="Z7" t="n">
        <v>4.9856</v>
      </c>
      <c r="AA7" t="inlineStr">
        <is>
          <t>FALSE</t>
        </is>
      </c>
      <c r="AB7" t="inlineStr">
        <is>
          <t>LastTime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TP</t>
        </is>
      </c>
      <c r="AK7" t="inlineStr">
        <is>
          <t>FALSE</t>
        </is>
      </c>
      <c r="AN7" t="n">
        <v>0</v>
      </c>
      <c r="AO7" t="inlineStr">
        <is>
          <t>FALSE</t>
        </is>
      </c>
    </row>
    <row r="8">
      <c r="R8" s="4" t="n"/>
    </row>
    <row r="9">
      <c r="R9" s="4" t="n"/>
    </row>
    <row r="10">
      <c r="R10" s="4" t="n"/>
    </row>
    <row r="11">
      <c r="R11" s="4" t="n"/>
    </row>
    <row r="12">
      <c r="R12" s="4" t="n"/>
    </row>
    <row r="13">
      <c r="R13" s="4" t="n"/>
    </row>
    <row r="14">
      <c r="R14" s="4" t="n"/>
    </row>
    <row r="15">
      <c r="R15" s="4" t="n"/>
    </row>
    <row r="16">
      <c r="R16" s="4" t="n"/>
    </row>
    <row r="17">
      <c r="R17" s="4" t="n"/>
    </row>
    <row r="18">
      <c r="R18" s="4" t="n"/>
    </row>
    <row r="19">
      <c r="R19" s="4" t="n"/>
    </row>
    <row r="20">
      <c r="R20" s="4" t="n"/>
    </row>
    <row r="21">
      <c r="R21" s="4" t="n"/>
    </row>
    <row r="22">
      <c r="R22" s="4" t="n"/>
    </row>
    <row r="23">
      <c r="R23" s="4" t="n"/>
    </row>
    <row r="24">
      <c r="R24" s="4" t="n"/>
    </row>
    <row r="25">
      <c r="R2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2026-05-30T00:52:24Z</dcterms:created>
  <dcterms:modified xsi:type="dcterms:W3CDTF">2026-05-31T04:52:01Z</dcterms:modified>
</cp:coreProperties>
</file>