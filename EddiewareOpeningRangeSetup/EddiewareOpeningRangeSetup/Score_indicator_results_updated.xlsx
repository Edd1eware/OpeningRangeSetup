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k_99_\Desktop\codding\OpeningRangeSetup\OpeningRangeSetup\EddiewareOpeningRangeSetup\EddiewareOpeningRangeSetup\"/>
    </mc:Choice>
  </mc:AlternateContent>
  <xr:revisionPtr revIDLastSave="0" documentId="13_ncr:1_{D0A39591-D2FB-498C-8452-B3A0ADC15351}" xr6:coauthVersionLast="47" xr6:coauthVersionMax="47" xr10:uidLastSave="{00000000-0000-0000-0000-000000000000}"/>
  <bookViews>
    <workbookView xWindow="1905" yWindow="1905" windowWidth="18900" windowHeight="10965" xr2:uid="{00000000-000D-0000-FFFF-FFFF00000000}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" i="1" l="1"/>
  <c r="A2" i="1"/>
</calcChain>
</file>

<file path=xl/sharedStrings.xml><?xml version="1.0" encoding="utf-8"?>
<sst xmlns="http://schemas.openxmlformats.org/spreadsheetml/2006/main" count="396" uniqueCount="85">
  <si>
    <t>win rate</t>
  </si>
  <si>
    <t>profit factor</t>
  </si>
  <si>
    <t>fecha</t>
  </si>
  <si>
    <t>or_low</t>
  </si>
  <si>
    <t>or_high</t>
  </si>
  <si>
    <t>range</t>
  </si>
  <si>
    <t>VWAP_entry</t>
  </si>
  <si>
    <t>Body</t>
  </si>
  <si>
    <t>Volume_entry</t>
  </si>
  <si>
    <t>Delta_entry</t>
  </si>
  <si>
    <t>BreakOut_SPEED</t>
  </si>
  <si>
    <t>BreakOut_TICKS_PER_SEC</t>
  </si>
  <si>
    <t>score total</t>
  </si>
  <si>
    <t>SL_price</t>
  </si>
  <si>
    <t>Entry_price</t>
  </si>
  <si>
    <t>TP_price</t>
  </si>
  <si>
    <t>SL_ticks</t>
  </si>
  <si>
    <t>TP_ticks</t>
  </si>
  <si>
    <t>result TP SL BE</t>
  </si>
  <si>
    <t>Side</t>
  </si>
  <si>
    <t>Speed_Profile</t>
  </si>
  <si>
    <t>MAE_ticks</t>
  </si>
  <si>
    <t>MFE_ticks</t>
  </si>
  <si>
    <t>Exporter_VERSION</t>
  </si>
  <si>
    <t>EntryTime_NY</t>
  </si>
  <si>
    <t>EntryBar</t>
  </si>
  <si>
    <t>Speed_Elapsed_SECONDS</t>
  </si>
  <si>
    <t>Speed_Replay_Fallback</t>
  </si>
  <si>
    <t>Speed_Timing_Source</t>
  </si>
  <si>
    <t>Range_OK</t>
  </si>
  <si>
    <t>Body_OK</t>
  </si>
  <si>
    <t>Volume_OK</t>
  </si>
  <si>
    <t>Delta_OK</t>
  </si>
  <si>
    <t>Time_OK</t>
  </si>
  <si>
    <t>VWAP_OK</t>
  </si>
  <si>
    <t>Speed_OK</t>
  </si>
  <si>
    <t>Result_Label</t>
  </si>
  <si>
    <t>Exit_price</t>
  </si>
  <si>
    <t>2026-04-21</t>
  </si>
  <si>
    <t>normal speed</t>
  </si>
  <si>
    <t>SELL</t>
  </si>
  <si>
    <t>SELL1</t>
  </si>
  <si>
    <t>score-exporter-2026-05-27-strict-speed-window</t>
  </si>
  <si>
    <t>09:31:00</t>
  </si>
  <si>
    <t>FALSE</t>
  </si>
  <si>
    <t>LastTime</t>
  </si>
  <si>
    <t>TRUE</t>
  </si>
  <si>
    <t>EXIT</t>
  </si>
  <si>
    <t>2026-04-22</t>
  </si>
  <si>
    <t>09:33:00</t>
  </si>
  <si>
    <t>SL</t>
  </si>
  <si>
    <t>2026-04-23</t>
  </si>
  <si>
    <t>TIME_OVER</t>
  </si>
  <si>
    <t>14:30:00</t>
  </si>
  <si>
    <t>2026-04-24</t>
  </si>
  <si>
    <t>A+ speed</t>
  </si>
  <si>
    <t>BUY</t>
  </si>
  <si>
    <t>10:12:00</t>
  </si>
  <si>
    <t>2026-04-27</t>
  </si>
  <si>
    <t>09:47:00</t>
  </si>
  <si>
    <t>2026-04-28</t>
  </si>
  <si>
    <t>09:57:00</t>
  </si>
  <si>
    <t>TP</t>
  </si>
  <si>
    <t>2026-04-29</t>
  </si>
  <si>
    <t>2026-04-30</t>
  </si>
  <si>
    <t>2026-05-01</t>
  </si>
  <si>
    <t>BUY1</t>
  </si>
  <si>
    <t>2026-05-04</t>
  </si>
  <si>
    <t>2026-05-05</t>
  </si>
  <si>
    <t>2026-05-06</t>
  </si>
  <si>
    <t>2026-05-07</t>
  </si>
  <si>
    <t>09:55:00</t>
  </si>
  <si>
    <t>2026-05-08</t>
  </si>
  <si>
    <t>2026-05-11</t>
  </si>
  <si>
    <t>2026-05-12</t>
  </si>
  <si>
    <t>09:43:00</t>
  </si>
  <si>
    <t>2026-05-13</t>
  </si>
  <si>
    <t>2026-05-14</t>
  </si>
  <si>
    <t>09:32:00</t>
  </si>
  <si>
    <t>2026-05-15</t>
  </si>
  <si>
    <t>2026-05-18</t>
  </si>
  <si>
    <t>2026-05-19</t>
  </si>
  <si>
    <t>2026-05-20</t>
  </si>
  <si>
    <t>2026-05-21</t>
  </si>
  <si>
    <t>09:52:00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</si>
</sst>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.##;\-0.##;0"/>
  </numFmts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0" fontId="0" fillId="0" borderId="0" xfId="0" applyNumberFormat="1"/>
    <xf numFmtId="2" fontId="0" fillId="0" borderId="0" xfId="0" applyNumberFormat="1"/>
    <xf numFmtId="0" fontId="1" fillId="0" borderId="0" xfId="0" applyFont="1"/>
    <xf numFmtId="0" fontId="2" fillId="2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26"/>
  <sheetViews>
    <sheetView tabSelected="1" workbookViewId="0">
      <selection activeCell="AH4" sqref="X1:AH1048576"/>
    </sheetView>
  </sheetViews>
  <sheetFormatPr baseColWidth="10" defaultColWidth="9.140625" defaultRowHeight="15" x14ac:dyDescent="0.25"/>
  <cols>
    <col min="1" max="3" width="12" customWidth="1"/>
    <col min="4" max="4" width="10" customWidth="1"/>
    <col min="5" max="5" width="14" customWidth="1"/>
    <col min="6" max="6" width="10" customWidth="1"/>
    <col min="7" max="8" width="14" customWidth="1"/>
    <col min="9" max="12" width="12" customWidth="1"/>
    <col min="13" max="13" width="16" customWidth="1"/>
    <col min="14" max="17" width="10" customWidth="1"/>
    <col min="20" max="20" width="9.42578125" customWidth="1"/>
    <col min="24" max="34" width="0" hidden="1" customWidth="1"/>
  </cols>
  <sheetData>
    <row r="1" spans="1:36" x14ac:dyDescent="0.25">
      <c r="A1" t="s">
        <v>0</v>
      </c>
      <c r="B1" t="s">
        <v>1</v>
      </c>
    </row>
    <row r="2" spans="1:36" x14ac:dyDescent="0.25">
      <c r="A2" s="1">
        <f>IF((COUNTIF(Q4:Q26,"&gt;0")+COUNTIF(Q4:Q26,"&lt;0"))=0,"",COUNTIF(Q4:Q26,"&gt;0")/(COUNTIF(Q4:Q26,"&gt;0")+COUNTIF(Q4:Q26,"&lt;0")))</f>
        <v>0.59090909090909094</v>
      </c>
      <c r="B2" s="2">
        <f>IF(ABS(SUMIF(Q4:Q26,"&lt;0",Q4:Q26))=0,IF(SUMIF(Q4:Q26,"&gt;0",Q4:Q26)&gt;0,"INF",""),SUMIF(Q4:Q26,"&gt;0",Q4:Q26)/ABS(SUMIF(Q4:Q26,"&lt;0",Q4:Q26)))</f>
        <v>1.1182432432432432</v>
      </c>
    </row>
    <row r="3" spans="1:36" x14ac:dyDescent="0.2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4" t="s">
        <v>13</v>
      </c>
      <c r="M3" s="4" t="s">
        <v>14</v>
      </c>
      <c r="N3" s="4" t="s">
        <v>15</v>
      </c>
      <c r="O3" s="4" t="s">
        <v>16</v>
      </c>
      <c r="P3" s="4" t="s">
        <v>17</v>
      </c>
      <c r="Q3" s="4" t="s">
        <v>18</v>
      </c>
      <c r="R3" s="4" t="s">
        <v>19</v>
      </c>
      <c r="S3" s="4" t="s">
        <v>20</v>
      </c>
      <c r="T3" s="4" t="s">
        <v>21</v>
      </c>
      <c r="U3" s="4" t="s">
        <v>22</v>
      </c>
      <c r="V3" s="4" t="s">
        <v>23</v>
      </c>
      <c r="W3" s="4" t="s">
        <v>24</v>
      </c>
      <c r="X3" s="4" t="s">
        <v>25</v>
      </c>
      <c r="Y3" s="4" t="s">
        <v>26</v>
      </c>
      <c r="Z3" s="4" t="s">
        <v>27</v>
      </c>
      <c r="AA3" s="4" t="s">
        <v>28</v>
      </c>
      <c r="AB3" s="4" t="s">
        <v>29</v>
      </c>
      <c r="AC3" s="4" t="s">
        <v>30</v>
      </c>
      <c r="AD3" s="4" t="s">
        <v>31</v>
      </c>
      <c r="AE3" s="4" t="s">
        <v>32</v>
      </c>
      <c r="AF3" s="4" t="s">
        <v>33</v>
      </c>
      <c r="AG3" s="4" t="s">
        <v>34</v>
      </c>
      <c r="AH3" s="4" t="s">
        <v>35</v>
      </c>
      <c r="AI3" s="4" t="s">
        <v>36</v>
      </c>
      <c r="AJ3" s="4" t="s">
        <v>37</v>
      </c>
    </row>
    <row r="4" spans="1:36" x14ac:dyDescent="0.25">
      <c r="A4" t="s">
        <v>38</v>
      </c>
      <c r="B4">
        <v>26772.5</v>
      </c>
      <c r="C4">
        <v>26827.5</v>
      </c>
      <c r="D4">
        <v>220</v>
      </c>
      <c r="E4">
        <v>26835.24</v>
      </c>
      <c r="F4">
        <v>55</v>
      </c>
      <c r="G4">
        <v>1726</v>
      </c>
      <c r="H4">
        <v>-434</v>
      </c>
      <c r="I4" t="s">
        <v>39</v>
      </c>
      <c r="J4">
        <v>2.23</v>
      </c>
      <c r="K4">
        <v>7</v>
      </c>
      <c r="L4">
        <v>26773.75</v>
      </c>
      <c r="M4">
        <v>26758.75</v>
      </c>
      <c r="N4">
        <v>26743.75</v>
      </c>
      <c r="O4">
        <v>60</v>
      </c>
      <c r="P4">
        <v>60</v>
      </c>
      <c r="Q4" s="5">
        <v>20</v>
      </c>
      <c r="R4" t="s">
        <v>40</v>
      </c>
      <c r="S4" t="s">
        <v>41</v>
      </c>
      <c r="T4">
        <v>35</v>
      </c>
      <c r="U4">
        <v>40</v>
      </c>
      <c r="V4" t="s">
        <v>42</v>
      </c>
      <c r="W4" t="s">
        <v>43</v>
      </c>
      <c r="X4">
        <v>2310</v>
      </c>
      <c r="Y4">
        <v>24.690300000000001</v>
      </c>
      <c r="Z4" t="s">
        <v>44</v>
      </c>
      <c r="AA4" t="s">
        <v>45</v>
      </c>
      <c r="AB4" t="s">
        <v>46</v>
      </c>
      <c r="AC4" t="s">
        <v>46</v>
      </c>
      <c r="AD4" t="s">
        <v>46</v>
      </c>
      <c r="AE4" t="s">
        <v>46</v>
      </c>
      <c r="AF4" t="s">
        <v>46</v>
      </c>
      <c r="AG4" t="s">
        <v>46</v>
      </c>
      <c r="AH4" t="s">
        <v>46</v>
      </c>
      <c r="AI4" t="s">
        <v>47</v>
      </c>
      <c r="AJ4">
        <v>26753.75</v>
      </c>
    </row>
    <row r="5" spans="1:36" x14ac:dyDescent="0.25">
      <c r="A5" t="s">
        <v>48</v>
      </c>
      <c r="B5">
        <v>26852.5</v>
      </c>
      <c r="C5">
        <v>26893.75</v>
      </c>
      <c r="D5">
        <v>165</v>
      </c>
      <c r="E5">
        <v>26841.84</v>
      </c>
      <c r="F5">
        <v>70</v>
      </c>
      <c r="G5">
        <v>1317</v>
      </c>
      <c r="H5">
        <v>-117</v>
      </c>
      <c r="I5" t="s">
        <v>39</v>
      </c>
      <c r="J5">
        <v>2.09</v>
      </c>
      <c r="K5">
        <v>7</v>
      </c>
      <c r="L5">
        <v>26836.25</v>
      </c>
      <c r="M5">
        <v>26821.25</v>
      </c>
      <c r="N5">
        <v>26806.25</v>
      </c>
      <c r="O5">
        <v>60</v>
      </c>
      <c r="P5">
        <v>60</v>
      </c>
      <c r="Q5" s="5">
        <v>-60</v>
      </c>
      <c r="R5" t="s">
        <v>40</v>
      </c>
      <c r="S5" t="s">
        <v>41</v>
      </c>
      <c r="T5">
        <v>70</v>
      </c>
      <c r="U5">
        <v>30</v>
      </c>
      <c r="V5" t="s">
        <v>42</v>
      </c>
      <c r="W5" t="s">
        <v>49</v>
      </c>
      <c r="X5">
        <v>2312</v>
      </c>
      <c r="Y5">
        <v>33.4206</v>
      </c>
      <c r="Z5" t="s">
        <v>44</v>
      </c>
      <c r="AA5" t="s">
        <v>45</v>
      </c>
      <c r="AB5" t="s">
        <v>46</v>
      </c>
      <c r="AC5" t="s">
        <v>46</v>
      </c>
      <c r="AD5" t="s">
        <v>46</v>
      </c>
      <c r="AE5" t="s">
        <v>46</v>
      </c>
      <c r="AF5" t="s">
        <v>46</v>
      </c>
      <c r="AG5" t="s">
        <v>46</v>
      </c>
      <c r="AH5" t="s">
        <v>46</v>
      </c>
      <c r="AI5" t="s">
        <v>50</v>
      </c>
      <c r="AJ5">
        <v>26836.25</v>
      </c>
    </row>
    <row r="6" spans="1:36" x14ac:dyDescent="0.25">
      <c r="A6" t="s">
        <v>51</v>
      </c>
      <c r="B6">
        <v>26965</v>
      </c>
      <c r="C6">
        <v>27016.25</v>
      </c>
      <c r="D6">
        <v>205</v>
      </c>
      <c r="Q6" s="5" t="s">
        <v>52</v>
      </c>
      <c r="V6" t="s">
        <v>42</v>
      </c>
      <c r="W6" t="s">
        <v>53</v>
      </c>
      <c r="AF6" t="s">
        <v>46</v>
      </c>
      <c r="AI6" t="s">
        <v>52</v>
      </c>
    </row>
    <row r="7" spans="1:36" x14ac:dyDescent="0.25">
      <c r="A7" t="s">
        <v>54</v>
      </c>
      <c r="B7">
        <v>27176.25</v>
      </c>
      <c r="C7">
        <v>27223.75</v>
      </c>
      <c r="D7">
        <v>190</v>
      </c>
      <c r="E7">
        <v>27207.77</v>
      </c>
      <c r="F7">
        <v>65</v>
      </c>
      <c r="G7">
        <v>827</v>
      </c>
      <c r="H7">
        <v>353</v>
      </c>
      <c r="I7" t="s">
        <v>55</v>
      </c>
      <c r="J7">
        <v>6.82</v>
      </c>
      <c r="K7">
        <v>7</v>
      </c>
      <c r="L7">
        <v>27227.5</v>
      </c>
      <c r="M7">
        <v>27252.5</v>
      </c>
      <c r="N7">
        <v>27282.5</v>
      </c>
      <c r="O7">
        <v>100</v>
      </c>
      <c r="P7">
        <v>120</v>
      </c>
      <c r="Q7" s="5">
        <v>-100</v>
      </c>
      <c r="R7" t="s">
        <v>56</v>
      </c>
      <c r="S7" t="s">
        <v>56</v>
      </c>
      <c r="T7">
        <v>100</v>
      </c>
      <c r="U7">
        <v>60</v>
      </c>
      <c r="V7" t="s">
        <v>42</v>
      </c>
      <c r="W7" t="s">
        <v>57</v>
      </c>
      <c r="X7">
        <v>2352</v>
      </c>
      <c r="Y7">
        <v>9.5289000000000001</v>
      </c>
      <c r="Z7" t="s">
        <v>44</v>
      </c>
      <c r="AA7" t="s">
        <v>45</v>
      </c>
      <c r="AB7" t="s">
        <v>46</v>
      </c>
      <c r="AC7" t="s">
        <v>46</v>
      </c>
      <c r="AD7" t="s">
        <v>46</v>
      </c>
      <c r="AE7" t="s">
        <v>46</v>
      </c>
      <c r="AF7" t="s">
        <v>46</v>
      </c>
      <c r="AG7" t="s">
        <v>46</v>
      </c>
      <c r="AH7" t="s">
        <v>46</v>
      </c>
      <c r="AI7" t="s">
        <v>50</v>
      </c>
      <c r="AJ7">
        <v>27227.5</v>
      </c>
    </row>
    <row r="8" spans="1:36" x14ac:dyDescent="0.25">
      <c r="A8" t="s">
        <v>58</v>
      </c>
      <c r="B8">
        <v>27363.75</v>
      </c>
      <c r="C8">
        <v>27435</v>
      </c>
      <c r="D8">
        <v>285</v>
      </c>
      <c r="E8">
        <v>27421.7</v>
      </c>
      <c r="F8">
        <v>120</v>
      </c>
      <c r="G8">
        <v>1290</v>
      </c>
      <c r="H8">
        <v>-566</v>
      </c>
      <c r="I8" t="s">
        <v>55</v>
      </c>
      <c r="J8">
        <v>9.42</v>
      </c>
      <c r="K8">
        <v>7</v>
      </c>
      <c r="L8">
        <v>27358.75</v>
      </c>
      <c r="M8">
        <v>27333.75</v>
      </c>
      <c r="N8">
        <v>27303.75</v>
      </c>
      <c r="O8">
        <v>100</v>
      </c>
      <c r="P8">
        <v>120</v>
      </c>
      <c r="Q8" s="5">
        <v>-100</v>
      </c>
      <c r="R8" t="s">
        <v>40</v>
      </c>
      <c r="S8" t="s">
        <v>40</v>
      </c>
      <c r="T8">
        <v>100</v>
      </c>
      <c r="U8">
        <v>35</v>
      </c>
      <c r="V8" t="s">
        <v>42</v>
      </c>
      <c r="W8" t="s">
        <v>59</v>
      </c>
      <c r="X8">
        <v>2327</v>
      </c>
      <c r="Y8">
        <v>12.7325</v>
      </c>
      <c r="Z8" t="s">
        <v>44</v>
      </c>
      <c r="AA8" t="s">
        <v>45</v>
      </c>
      <c r="AB8" t="s">
        <v>46</v>
      </c>
      <c r="AC8" t="s">
        <v>46</v>
      </c>
      <c r="AD8" t="s">
        <v>46</v>
      </c>
      <c r="AE8" t="s">
        <v>46</v>
      </c>
      <c r="AF8" t="s">
        <v>46</v>
      </c>
      <c r="AG8" t="s">
        <v>46</v>
      </c>
      <c r="AH8" t="s">
        <v>46</v>
      </c>
      <c r="AI8" t="s">
        <v>50</v>
      </c>
      <c r="AJ8">
        <v>27358.75</v>
      </c>
    </row>
    <row r="9" spans="1:36" x14ac:dyDescent="0.25">
      <c r="A9" t="s">
        <v>60</v>
      </c>
      <c r="B9">
        <v>27082.5</v>
      </c>
      <c r="C9">
        <v>27162.5</v>
      </c>
      <c r="D9">
        <v>320</v>
      </c>
      <c r="E9">
        <v>27192.17</v>
      </c>
      <c r="F9">
        <v>85</v>
      </c>
      <c r="G9">
        <v>806</v>
      </c>
      <c r="H9">
        <v>266</v>
      </c>
      <c r="I9" t="s">
        <v>55</v>
      </c>
      <c r="J9">
        <v>9.25</v>
      </c>
      <c r="K9">
        <v>5</v>
      </c>
      <c r="L9">
        <v>27158.75</v>
      </c>
      <c r="M9">
        <v>27183.75</v>
      </c>
      <c r="N9">
        <v>27213.75</v>
      </c>
      <c r="O9">
        <v>100</v>
      </c>
      <c r="P9">
        <v>120</v>
      </c>
      <c r="Q9" s="5">
        <v>120</v>
      </c>
      <c r="R9" t="s">
        <v>56</v>
      </c>
      <c r="S9" t="s">
        <v>56</v>
      </c>
      <c r="T9">
        <v>25</v>
      </c>
      <c r="U9">
        <v>120</v>
      </c>
      <c r="V9" t="s">
        <v>42</v>
      </c>
      <c r="W9" t="s">
        <v>61</v>
      </c>
      <c r="X9">
        <v>2337</v>
      </c>
      <c r="Y9">
        <v>9.1913999999999998</v>
      </c>
      <c r="Z9" t="s">
        <v>44</v>
      </c>
      <c r="AA9" t="s">
        <v>45</v>
      </c>
      <c r="AB9" t="s">
        <v>46</v>
      </c>
      <c r="AC9" t="s">
        <v>46</v>
      </c>
      <c r="AD9" t="s">
        <v>46</v>
      </c>
      <c r="AE9" t="s">
        <v>46</v>
      </c>
      <c r="AF9" t="s">
        <v>46</v>
      </c>
      <c r="AG9" t="s">
        <v>44</v>
      </c>
      <c r="AH9" t="s">
        <v>46</v>
      </c>
      <c r="AI9" t="s">
        <v>62</v>
      </c>
      <c r="AJ9">
        <v>27213.75</v>
      </c>
    </row>
    <row r="10" spans="1:36" x14ac:dyDescent="0.25">
      <c r="A10" t="s">
        <v>63</v>
      </c>
      <c r="B10">
        <v>27151.25</v>
      </c>
      <c r="C10">
        <v>27218.75</v>
      </c>
      <c r="D10">
        <v>270</v>
      </c>
      <c r="E10">
        <v>27241.75</v>
      </c>
      <c r="F10">
        <v>15</v>
      </c>
      <c r="G10">
        <v>806</v>
      </c>
      <c r="H10">
        <v>-88</v>
      </c>
      <c r="I10" t="s">
        <v>39</v>
      </c>
      <c r="J10">
        <v>2.2999999999999998</v>
      </c>
      <c r="K10">
        <v>7</v>
      </c>
      <c r="L10">
        <v>27162.5</v>
      </c>
      <c r="M10">
        <v>27147.5</v>
      </c>
      <c r="N10">
        <v>27132.5</v>
      </c>
      <c r="O10">
        <v>60</v>
      </c>
      <c r="P10">
        <v>60</v>
      </c>
      <c r="Q10" s="5">
        <v>20</v>
      </c>
      <c r="R10" t="s">
        <v>40</v>
      </c>
      <c r="S10" t="s">
        <v>41</v>
      </c>
      <c r="T10">
        <v>0</v>
      </c>
      <c r="U10">
        <v>40</v>
      </c>
      <c r="V10" t="s">
        <v>42</v>
      </c>
      <c r="W10" t="s">
        <v>43</v>
      </c>
      <c r="X10">
        <v>2311</v>
      </c>
      <c r="Y10">
        <v>6.5118999999999998</v>
      </c>
      <c r="Z10" t="s">
        <v>44</v>
      </c>
      <c r="AA10" t="s">
        <v>45</v>
      </c>
      <c r="AB10" t="s">
        <v>46</v>
      </c>
      <c r="AC10" t="s">
        <v>46</v>
      </c>
      <c r="AD10" t="s">
        <v>46</v>
      </c>
      <c r="AE10" t="s">
        <v>46</v>
      </c>
      <c r="AF10" t="s">
        <v>46</v>
      </c>
      <c r="AG10" t="s">
        <v>46</v>
      </c>
      <c r="AH10" t="s">
        <v>46</v>
      </c>
      <c r="AI10" t="s">
        <v>47</v>
      </c>
      <c r="AJ10">
        <v>27142.5</v>
      </c>
    </row>
    <row r="11" spans="1:36" x14ac:dyDescent="0.25">
      <c r="A11" t="s">
        <v>64</v>
      </c>
      <c r="B11">
        <v>27422.5</v>
      </c>
      <c r="C11">
        <v>27492.5</v>
      </c>
      <c r="D11">
        <v>280</v>
      </c>
      <c r="E11">
        <v>27385.42</v>
      </c>
      <c r="F11" s="3">
        <v>30</v>
      </c>
      <c r="G11">
        <v>984</v>
      </c>
      <c r="H11">
        <v>-110</v>
      </c>
      <c r="I11" t="s">
        <v>39</v>
      </c>
      <c r="J11">
        <v>2.5499999999999998</v>
      </c>
      <c r="K11">
        <v>5</v>
      </c>
      <c r="L11">
        <v>27430</v>
      </c>
      <c r="M11">
        <v>27415</v>
      </c>
      <c r="N11">
        <v>27400</v>
      </c>
      <c r="O11">
        <v>60</v>
      </c>
      <c r="P11">
        <v>60</v>
      </c>
      <c r="Q11" s="5">
        <v>22.5</v>
      </c>
      <c r="R11" t="s">
        <v>40</v>
      </c>
      <c r="S11" t="s">
        <v>41</v>
      </c>
      <c r="T11">
        <v>50</v>
      </c>
      <c r="U11">
        <v>45</v>
      </c>
      <c r="V11" t="s">
        <v>42</v>
      </c>
      <c r="W11" t="s">
        <v>43</v>
      </c>
      <c r="X11">
        <v>2311</v>
      </c>
      <c r="Y11">
        <v>11.7789</v>
      </c>
      <c r="Z11" t="s">
        <v>44</v>
      </c>
      <c r="AA11" t="s">
        <v>45</v>
      </c>
      <c r="AB11" t="s">
        <v>46</v>
      </c>
      <c r="AC11" t="s">
        <v>46</v>
      </c>
      <c r="AD11" t="s">
        <v>46</v>
      </c>
      <c r="AE11" t="s">
        <v>46</v>
      </c>
      <c r="AF11" t="s">
        <v>46</v>
      </c>
      <c r="AG11" t="s">
        <v>44</v>
      </c>
      <c r="AH11" t="s">
        <v>46</v>
      </c>
      <c r="AI11" t="s">
        <v>47</v>
      </c>
      <c r="AJ11">
        <v>27409.38</v>
      </c>
    </row>
    <row r="12" spans="1:36" x14ac:dyDescent="0.25">
      <c r="A12" t="s">
        <v>65</v>
      </c>
      <c r="B12">
        <v>27618.75</v>
      </c>
      <c r="C12">
        <v>27666.25</v>
      </c>
      <c r="D12">
        <v>190</v>
      </c>
      <c r="E12">
        <v>27598.29</v>
      </c>
      <c r="F12">
        <v>25</v>
      </c>
      <c r="G12">
        <v>826</v>
      </c>
      <c r="H12">
        <v>248</v>
      </c>
      <c r="I12" t="s">
        <v>39</v>
      </c>
      <c r="J12">
        <v>3.29</v>
      </c>
      <c r="K12">
        <v>7</v>
      </c>
      <c r="L12">
        <v>27657.5</v>
      </c>
      <c r="M12">
        <v>27672.5</v>
      </c>
      <c r="N12">
        <v>27687.5</v>
      </c>
      <c r="O12">
        <v>60</v>
      </c>
      <c r="P12">
        <v>60</v>
      </c>
      <c r="Q12" s="5">
        <v>60</v>
      </c>
      <c r="R12" t="s">
        <v>56</v>
      </c>
      <c r="S12" t="s">
        <v>66</v>
      </c>
      <c r="T12">
        <v>10</v>
      </c>
      <c r="U12">
        <v>60</v>
      </c>
      <c r="V12" t="s">
        <v>42</v>
      </c>
      <c r="W12" t="s">
        <v>43</v>
      </c>
      <c r="X12">
        <v>2311</v>
      </c>
      <c r="Y12">
        <v>7.6086</v>
      </c>
      <c r="Z12" t="s">
        <v>44</v>
      </c>
      <c r="AA12" t="s">
        <v>45</v>
      </c>
      <c r="AB12" t="s">
        <v>46</v>
      </c>
      <c r="AC12" t="s">
        <v>46</v>
      </c>
      <c r="AD12" t="s">
        <v>46</v>
      </c>
      <c r="AE12" t="s">
        <v>46</v>
      </c>
      <c r="AF12" t="s">
        <v>46</v>
      </c>
      <c r="AG12" t="s">
        <v>46</v>
      </c>
      <c r="AH12" t="s">
        <v>46</v>
      </c>
      <c r="AI12" t="s">
        <v>62</v>
      </c>
      <c r="AJ12">
        <v>27687.5</v>
      </c>
    </row>
    <row r="13" spans="1:36" x14ac:dyDescent="0.25">
      <c r="A13" t="s">
        <v>67</v>
      </c>
      <c r="B13">
        <v>27837.5</v>
      </c>
      <c r="C13">
        <v>27875</v>
      </c>
      <c r="D13">
        <v>150</v>
      </c>
      <c r="E13">
        <v>27837.01</v>
      </c>
      <c r="F13">
        <v>40</v>
      </c>
      <c r="G13">
        <v>1331</v>
      </c>
      <c r="H13">
        <v>-25</v>
      </c>
      <c r="I13" t="s">
        <v>39</v>
      </c>
      <c r="J13">
        <v>2.25</v>
      </c>
      <c r="K13">
        <v>7</v>
      </c>
      <c r="L13">
        <v>27842.5</v>
      </c>
      <c r="M13">
        <v>27827.5</v>
      </c>
      <c r="N13">
        <v>27812.5</v>
      </c>
      <c r="O13">
        <v>60</v>
      </c>
      <c r="P13">
        <v>60</v>
      </c>
      <c r="Q13" s="5">
        <v>60</v>
      </c>
      <c r="R13" t="s">
        <v>40</v>
      </c>
      <c r="S13" t="s">
        <v>41</v>
      </c>
      <c r="T13">
        <v>10</v>
      </c>
      <c r="U13">
        <v>60</v>
      </c>
      <c r="V13" t="s">
        <v>42</v>
      </c>
      <c r="W13" t="s">
        <v>43</v>
      </c>
      <c r="X13">
        <v>2311</v>
      </c>
      <c r="Y13">
        <v>17.776599999999998</v>
      </c>
      <c r="Z13" t="s">
        <v>44</v>
      </c>
      <c r="AA13" t="s">
        <v>45</v>
      </c>
      <c r="AB13" t="s">
        <v>46</v>
      </c>
      <c r="AC13" t="s">
        <v>46</v>
      </c>
      <c r="AD13" t="s">
        <v>46</v>
      </c>
      <c r="AE13" t="s">
        <v>46</v>
      </c>
      <c r="AF13" t="s">
        <v>46</v>
      </c>
      <c r="AG13" t="s">
        <v>46</v>
      </c>
      <c r="AH13" t="s">
        <v>46</v>
      </c>
      <c r="AI13" t="s">
        <v>62</v>
      </c>
      <c r="AJ13">
        <v>27812.5</v>
      </c>
    </row>
    <row r="14" spans="1:36" x14ac:dyDescent="0.25">
      <c r="A14" t="s">
        <v>68</v>
      </c>
      <c r="B14">
        <v>27986.25</v>
      </c>
      <c r="C14">
        <v>28023.75</v>
      </c>
      <c r="D14">
        <v>150</v>
      </c>
      <c r="E14">
        <v>27935.71</v>
      </c>
      <c r="F14">
        <v>20</v>
      </c>
      <c r="G14">
        <v>862</v>
      </c>
      <c r="H14">
        <v>-144</v>
      </c>
      <c r="I14" t="s">
        <v>39</v>
      </c>
      <c r="J14">
        <v>3.64</v>
      </c>
      <c r="K14">
        <v>5</v>
      </c>
      <c r="L14">
        <v>27996.25</v>
      </c>
      <c r="M14">
        <v>27981.25</v>
      </c>
      <c r="N14">
        <v>27966.25</v>
      </c>
      <c r="O14">
        <v>60</v>
      </c>
      <c r="P14">
        <v>60</v>
      </c>
      <c r="Q14" s="5">
        <v>20</v>
      </c>
      <c r="R14" t="s">
        <v>40</v>
      </c>
      <c r="S14" t="s">
        <v>41</v>
      </c>
      <c r="T14">
        <v>0</v>
      </c>
      <c r="U14">
        <v>40</v>
      </c>
      <c r="V14" t="s">
        <v>42</v>
      </c>
      <c r="W14" t="s">
        <v>43</v>
      </c>
      <c r="X14">
        <v>2310</v>
      </c>
      <c r="Y14">
        <v>5.4904000000000002</v>
      </c>
      <c r="Z14" t="s">
        <v>44</v>
      </c>
      <c r="AA14" t="s">
        <v>45</v>
      </c>
      <c r="AB14" t="s">
        <v>46</v>
      </c>
      <c r="AC14" t="s">
        <v>46</v>
      </c>
      <c r="AD14" t="s">
        <v>46</v>
      </c>
      <c r="AE14" t="s">
        <v>46</v>
      </c>
      <c r="AF14" t="s">
        <v>46</v>
      </c>
      <c r="AG14" t="s">
        <v>44</v>
      </c>
      <c r="AH14" t="s">
        <v>46</v>
      </c>
      <c r="AI14" t="s">
        <v>47</v>
      </c>
      <c r="AJ14">
        <v>27976.25</v>
      </c>
    </row>
    <row r="15" spans="1:36" x14ac:dyDescent="0.25">
      <c r="A15" t="s">
        <v>69</v>
      </c>
      <c r="B15">
        <v>28336.25</v>
      </c>
      <c r="C15">
        <v>28392.5</v>
      </c>
      <c r="D15">
        <v>225</v>
      </c>
      <c r="E15">
        <v>28455.83</v>
      </c>
      <c r="F15">
        <v>25</v>
      </c>
      <c r="G15">
        <v>837</v>
      </c>
      <c r="H15">
        <v>27</v>
      </c>
      <c r="I15" t="s">
        <v>39</v>
      </c>
      <c r="J15">
        <v>2.13</v>
      </c>
      <c r="K15">
        <v>5</v>
      </c>
      <c r="L15">
        <v>28411.25</v>
      </c>
      <c r="M15">
        <v>28426.25</v>
      </c>
      <c r="N15">
        <v>28441.25</v>
      </c>
      <c r="O15">
        <v>60</v>
      </c>
      <c r="P15">
        <v>60</v>
      </c>
      <c r="Q15" s="5">
        <v>-60</v>
      </c>
      <c r="R15" t="s">
        <v>56</v>
      </c>
      <c r="S15" t="s">
        <v>66</v>
      </c>
      <c r="T15">
        <v>60</v>
      </c>
      <c r="U15">
        <v>0</v>
      </c>
      <c r="V15" t="s">
        <v>42</v>
      </c>
      <c r="W15" t="s">
        <v>49</v>
      </c>
      <c r="X15">
        <v>2313</v>
      </c>
      <c r="Y15">
        <v>11.7515</v>
      </c>
      <c r="Z15" t="s">
        <v>44</v>
      </c>
      <c r="AA15" t="s">
        <v>45</v>
      </c>
      <c r="AB15" t="s">
        <v>46</v>
      </c>
      <c r="AC15" t="s">
        <v>46</v>
      </c>
      <c r="AD15" t="s">
        <v>46</v>
      </c>
      <c r="AE15" t="s">
        <v>46</v>
      </c>
      <c r="AF15" t="s">
        <v>46</v>
      </c>
      <c r="AG15" t="s">
        <v>44</v>
      </c>
      <c r="AH15" t="s">
        <v>46</v>
      </c>
      <c r="AI15" t="s">
        <v>50</v>
      </c>
      <c r="AJ15">
        <v>28411.25</v>
      </c>
    </row>
    <row r="16" spans="1:36" x14ac:dyDescent="0.25">
      <c r="A16" t="s">
        <v>70</v>
      </c>
      <c r="B16">
        <v>28730</v>
      </c>
      <c r="C16">
        <v>28766.25</v>
      </c>
      <c r="D16">
        <v>145</v>
      </c>
      <c r="E16">
        <v>28745.3</v>
      </c>
      <c r="F16">
        <v>40</v>
      </c>
      <c r="G16">
        <v>813</v>
      </c>
      <c r="H16">
        <v>221</v>
      </c>
      <c r="I16" t="s">
        <v>55</v>
      </c>
      <c r="J16">
        <v>5.46</v>
      </c>
      <c r="K16">
        <v>7</v>
      </c>
      <c r="L16">
        <v>28772.5</v>
      </c>
      <c r="M16">
        <v>28797.5</v>
      </c>
      <c r="N16">
        <v>28827.5</v>
      </c>
      <c r="O16">
        <v>100</v>
      </c>
      <c r="P16">
        <v>120</v>
      </c>
      <c r="Q16" s="5">
        <v>-100</v>
      </c>
      <c r="R16" t="s">
        <v>56</v>
      </c>
      <c r="S16" t="s">
        <v>56</v>
      </c>
      <c r="T16">
        <v>100</v>
      </c>
      <c r="U16">
        <v>25</v>
      </c>
      <c r="V16" t="s">
        <v>42</v>
      </c>
      <c r="W16" t="s">
        <v>71</v>
      </c>
      <c r="X16">
        <v>2335</v>
      </c>
      <c r="Y16">
        <v>7.3289999999999997</v>
      </c>
      <c r="Z16" t="s">
        <v>44</v>
      </c>
      <c r="AA16" t="s">
        <v>45</v>
      </c>
      <c r="AB16" t="s">
        <v>46</v>
      </c>
      <c r="AC16" t="s">
        <v>46</v>
      </c>
      <c r="AD16" t="s">
        <v>46</v>
      </c>
      <c r="AE16" t="s">
        <v>46</v>
      </c>
      <c r="AF16" t="s">
        <v>46</v>
      </c>
      <c r="AG16" t="s">
        <v>46</v>
      </c>
      <c r="AH16" t="s">
        <v>46</v>
      </c>
      <c r="AI16" t="s">
        <v>50</v>
      </c>
      <c r="AJ16">
        <v>28772.5</v>
      </c>
    </row>
    <row r="17" spans="1:36" x14ac:dyDescent="0.25">
      <c r="A17" t="s">
        <v>72</v>
      </c>
      <c r="B17">
        <v>28860</v>
      </c>
      <c r="C17">
        <v>28903.75</v>
      </c>
      <c r="D17">
        <v>175</v>
      </c>
      <c r="E17">
        <v>28876.61</v>
      </c>
      <c r="F17">
        <v>50</v>
      </c>
      <c r="G17">
        <v>1579</v>
      </c>
      <c r="H17">
        <v>209</v>
      </c>
      <c r="I17" t="s">
        <v>39</v>
      </c>
      <c r="J17">
        <v>2.1800000000000002</v>
      </c>
      <c r="K17">
        <v>7</v>
      </c>
      <c r="L17">
        <v>28901.25</v>
      </c>
      <c r="M17">
        <v>28916.25</v>
      </c>
      <c r="N17">
        <v>28931.25</v>
      </c>
      <c r="O17">
        <v>60</v>
      </c>
      <c r="P17">
        <v>60</v>
      </c>
      <c r="Q17" s="5">
        <v>60</v>
      </c>
      <c r="R17" t="s">
        <v>56</v>
      </c>
      <c r="S17" t="s">
        <v>66</v>
      </c>
      <c r="T17">
        <v>50</v>
      </c>
      <c r="U17">
        <v>65</v>
      </c>
      <c r="V17" t="s">
        <v>42</v>
      </c>
      <c r="W17" t="s">
        <v>43</v>
      </c>
      <c r="X17">
        <v>2311</v>
      </c>
      <c r="Y17">
        <v>22.935400000000001</v>
      </c>
      <c r="Z17" t="s">
        <v>44</v>
      </c>
      <c r="AA17" t="s">
        <v>45</v>
      </c>
      <c r="AB17" t="s">
        <v>46</v>
      </c>
      <c r="AC17" t="s">
        <v>46</v>
      </c>
      <c r="AD17" t="s">
        <v>46</v>
      </c>
      <c r="AE17" t="s">
        <v>46</v>
      </c>
      <c r="AF17" t="s">
        <v>46</v>
      </c>
      <c r="AG17" t="s">
        <v>46</v>
      </c>
      <c r="AH17" t="s">
        <v>46</v>
      </c>
      <c r="AI17" t="s">
        <v>62</v>
      </c>
      <c r="AJ17">
        <v>28931.25</v>
      </c>
    </row>
    <row r="18" spans="1:36" x14ac:dyDescent="0.25">
      <c r="A18" t="s">
        <v>73</v>
      </c>
      <c r="B18">
        <v>29282.5</v>
      </c>
      <c r="C18">
        <v>29346.25</v>
      </c>
      <c r="D18">
        <v>255</v>
      </c>
      <c r="E18">
        <v>29316.62</v>
      </c>
      <c r="F18">
        <v>65</v>
      </c>
      <c r="G18">
        <v>840</v>
      </c>
      <c r="H18">
        <v>128</v>
      </c>
      <c r="I18" t="s">
        <v>55</v>
      </c>
      <c r="J18">
        <v>9.14</v>
      </c>
      <c r="K18">
        <v>7</v>
      </c>
      <c r="L18">
        <v>29337.5</v>
      </c>
      <c r="M18">
        <v>29362.5</v>
      </c>
      <c r="N18">
        <v>29392.5</v>
      </c>
      <c r="O18">
        <v>100</v>
      </c>
      <c r="P18">
        <v>120</v>
      </c>
      <c r="Q18" s="5">
        <v>120</v>
      </c>
      <c r="R18" t="s">
        <v>56</v>
      </c>
      <c r="S18" t="s">
        <v>56</v>
      </c>
      <c r="T18">
        <v>5</v>
      </c>
      <c r="U18">
        <v>120</v>
      </c>
      <c r="V18" t="s">
        <v>42</v>
      </c>
      <c r="W18" t="s">
        <v>43</v>
      </c>
      <c r="X18">
        <v>2311</v>
      </c>
      <c r="Y18">
        <v>7.1135000000000002</v>
      </c>
      <c r="Z18" t="s">
        <v>44</v>
      </c>
      <c r="AA18" t="s">
        <v>45</v>
      </c>
      <c r="AB18" t="s">
        <v>46</v>
      </c>
      <c r="AC18" t="s">
        <v>46</v>
      </c>
      <c r="AD18" t="s">
        <v>46</v>
      </c>
      <c r="AE18" t="s">
        <v>46</v>
      </c>
      <c r="AF18" t="s">
        <v>46</v>
      </c>
      <c r="AG18" t="s">
        <v>46</v>
      </c>
      <c r="AH18" t="s">
        <v>46</v>
      </c>
      <c r="AI18" t="s">
        <v>62</v>
      </c>
      <c r="AJ18">
        <v>29392.5</v>
      </c>
    </row>
    <row r="19" spans="1:36" x14ac:dyDescent="0.25">
      <c r="A19" t="s">
        <v>74</v>
      </c>
      <c r="B19">
        <v>29146.25</v>
      </c>
      <c r="C19">
        <v>29227.5</v>
      </c>
      <c r="D19">
        <v>325</v>
      </c>
      <c r="E19">
        <v>29205.73</v>
      </c>
      <c r="F19">
        <v>75</v>
      </c>
      <c r="G19">
        <v>1177</v>
      </c>
      <c r="H19">
        <v>347</v>
      </c>
      <c r="I19" t="s">
        <v>55</v>
      </c>
      <c r="J19">
        <v>5.0999999999999996</v>
      </c>
      <c r="K19">
        <v>7</v>
      </c>
      <c r="L19">
        <v>29257.5</v>
      </c>
      <c r="M19">
        <v>29282.5</v>
      </c>
      <c r="N19">
        <v>29312.5</v>
      </c>
      <c r="O19">
        <v>100</v>
      </c>
      <c r="P19">
        <v>120</v>
      </c>
      <c r="Q19" s="5">
        <v>-100</v>
      </c>
      <c r="R19" t="s">
        <v>56</v>
      </c>
      <c r="S19" t="s">
        <v>56</v>
      </c>
      <c r="T19">
        <v>120</v>
      </c>
      <c r="U19">
        <v>55</v>
      </c>
      <c r="V19" t="s">
        <v>42</v>
      </c>
      <c r="W19" t="s">
        <v>75</v>
      </c>
      <c r="X19">
        <v>2323</v>
      </c>
      <c r="Y19">
        <v>14.7104</v>
      </c>
      <c r="Z19" t="s">
        <v>44</v>
      </c>
      <c r="AA19" t="s">
        <v>45</v>
      </c>
      <c r="AB19" t="s">
        <v>46</v>
      </c>
      <c r="AC19" t="s">
        <v>46</v>
      </c>
      <c r="AD19" t="s">
        <v>46</v>
      </c>
      <c r="AE19" t="s">
        <v>46</v>
      </c>
      <c r="AF19" t="s">
        <v>46</v>
      </c>
      <c r="AG19" t="s">
        <v>46</v>
      </c>
      <c r="AH19" t="s">
        <v>46</v>
      </c>
      <c r="AI19" t="s">
        <v>50</v>
      </c>
      <c r="AJ19">
        <v>29257.5</v>
      </c>
    </row>
    <row r="20" spans="1:36" x14ac:dyDescent="0.25">
      <c r="A20" t="s">
        <v>76</v>
      </c>
      <c r="B20">
        <v>29252.5</v>
      </c>
      <c r="C20">
        <v>29288.75</v>
      </c>
      <c r="D20">
        <v>145</v>
      </c>
      <c r="E20">
        <v>29321.32</v>
      </c>
      <c r="F20">
        <v>45</v>
      </c>
      <c r="G20">
        <v>1163</v>
      </c>
      <c r="H20">
        <v>-175</v>
      </c>
      <c r="I20" t="s">
        <v>39</v>
      </c>
      <c r="J20">
        <v>2.5499999999999998</v>
      </c>
      <c r="K20">
        <v>7</v>
      </c>
      <c r="L20">
        <v>29256.25</v>
      </c>
      <c r="M20">
        <v>29241.25</v>
      </c>
      <c r="N20">
        <v>29226.25</v>
      </c>
      <c r="O20">
        <v>60</v>
      </c>
      <c r="P20">
        <v>60</v>
      </c>
      <c r="Q20" s="5">
        <v>25</v>
      </c>
      <c r="R20" t="s">
        <v>40</v>
      </c>
      <c r="S20" t="s">
        <v>41</v>
      </c>
      <c r="T20">
        <v>0</v>
      </c>
      <c r="U20">
        <v>50</v>
      </c>
      <c r="V20" t="s">
        <v>42</v>
      </c>
      <c r="W20" t="s">
        <v>43</v>
      </c>
      <c r="X20">
        <v>2311</v>
      </c>
      <c r="Y20">
        <v>17.619399999999999</v>
      </c>
      <c r="Z20" t="s">
        <v>44</v>
      </c>
      <c r="AA20" t="s">
        <v>45</v>
      </c>
      <c r="AB20" t="s">
        <v>46</v>
      </c>
      <c r="AC20" t="s">
        <v>46</v>
      </c>
      <c r="AD20" t="s">
        <v>46</v>
      </c>
      <c r="AE20" t="s">
        <v>46</v>
      </c>
      <c r="AF20" t="s">
        <v>46</v>
      </c>
      <c r="AG20" t="s">
        <v>46</v>
      </c>
      <c r="AH20" t="s">
        <v>46</v>
      </c>
      <c r="AI20" t="s">
        <v>47</v>
      </c>
      <c r="AJ20">
        <v>29235</v>
      </c>
    </row>
    <row r="21" spans="1:36" x14ac:dyDescent="0.25">
      <c r="A21" t="s">
        <v>77</v>
      </c>
      <c r="B21">
        <v>29460</v>
      </c>
      <c r="C21">
        <v>29492.5</v>
      </c>
      <c r="D21">
        <v>130</v>
      </c>
      <c r="E21">
        <v>29543.5</v>
      </c>
      <c r="F21">
        <v>60</v>
      </c>
      <c r="G21">
        <v>804</v>
      </c>
      <c r="H21">
        <v>262</v>
      </c>
      <c r="I21" t="s">
        <v>55</v>
      </c>
      <c r="J21">
        <v>10.039999999999999</v>
      </c>
      <c r="K21">
        <v>5</v>
      </c>
      <c r="L21">
        <v>29488.75</v>
      </c>
      <c r="M21">
        <v>29513.75</v>
      </c>
      <c r="N21">
        <v>29543.75</v>
      </c>
      <c r="O21">
        <v>100</v>
      </c>
      <c r="P21">
        <v>120</v>
      </c>
      <c r="Q21" s="5">
        <v>120</v>
      </c>
      <c r="R21" t="s">
        <v>56</v>
      </c>
      <c r="S21" t="s">
        <v>56</v>
      </c>
      <c r="T21">
        <v>20</v>
      </c>
      <c r="U21">
        <v>120</v>
      </c>
      <c r="V21" t="s">
        <v>42</v>
      </c>
      <c r="W21" t="s">
        <v>78</v>
      </c>
      <c r="X21">
        <v>2312</v>
      </c>
      <c r="Y21">
        <v>5.9787999999999997</v>
      </c>
      <c r="Z21" t="s">
        <v>44</v>
      </c>
      <c r="AA21" t="s">
        <v>45</v>
      </c>
      <c r="AB21" t="s">
        <v>46</v>
      </c>
      <c r="AC21" t="s">
        <v>46</v>
      </c>
      <c r="AD21" t="s">
        <v>46</v>
      </c>
      <c r="AE21" t="s">
        <v>46</v>
      </c>
      <c r="AF21" t="s">
        <v>46</v>
      </c>
      <c r="AG21" t="s">
        <v>44</v>
      </c>
      <c r="AH21" t="s">
        <v>46</v>
      </c>
      <c r="AI21" t="s">
        <v>62</v>
      </c>
      <c r="AJ21">
        <v>29543.75</v>
      </c>
    </row>
    <row r="22" spans="1:36" x14ac:dyDescent="0.25">
      <c r="A22" t="s">
        <v>79</v>
      </c>
      <c r="B22">
        <v>29241.25</v>
      </c>
      <c r="C22">
        <v>29291.25</v>
      </c>
      <c r="D22">
        <v>200</v>
      </c>
      <c r="E22">
        <v>29294.78</v>
      </c>
      <c r="F22">
        <v>85</v>
      </c>
      <c r="G22">
        <v>818</v>
      </c>
      <c r="H22">
        <v>-356</v>
      </c>
      <c r="I22" t="s">
        <v>55</v>
      </c>
      <c r="J22">
        <v>16.899999999999999</v>
      </c>
      <c r="K22">
        <v>7</v>
      </c>
      <c r="L22">
        <v>29245</v>
      </c>
      <c r="M22">
        <v>29220</v>
      </c>
      <c r="N22">
        <v>29190</v>
      </c>
      <c r="O22">
        <v>100</v>
      </c>
      <c r="P22">
        <v>120</v>
      </c>
      <c r="Q22" s="5">
        <v>-100</v>
      </c>
      <c r="R22" t="s">
        <v>40</v>
      </c>
      <c r="S22" t="s">
        <v>40</v>
      </c>
      <c r="T22">
        <v>100</v>
      </c>
      <c r="U22">
        <v>65</v>
      </c>
      <c r="V22" t="s">
        <v>42</v>
      </c>
      <c r="W22" t="s">
        <v>43</v>
      </c>
      <c r="X22">
        <v>2311</v>
      </c>
      <c r="Y22">
        <v>5.0304000000000002</v>
      </c>
      <c r="Z22" t="s">
        <v>44</v>
      </c>
      <c r="AA22" t="s">
        <v>45</v>
      </c>
      <c r="AB22" t="s">
        <v>46</v>
      </c>
      <c r="AC22" t="s">
        <v>46</v>
      </c>
      <c r="AD22" t="s">
        <v>46</v>
      </c>
      <c r="AE22" t="s">
        <v>46</v>
      </c>
      <c r="AF22" t="s">
        <v>46</v>
      </c>
      <c r="AG22" t="s">
        <v>46</v>
      </c>
      <c r="AH22" t="s">
        <v>46</v>
      </c>
      <c r="AI22" t="s">
        <v>50</v>
      </c>
      <c r="AJ22">
        <v>29245</v>
      </c>
    </row>
    <row r="23" spans="1:36" x14ac:dyDescent="0.25">
      <c r="A23" t="s">
        <v>80</v>
      </c>
      <c r="B23">
        <v>29305</v>
      </c>
      <c r="C23">
        <v>29356.25</v>
      </c>
      <c r="D23">
        <v>205</v>
      </c>
      <c r="E23">
        <v>29211.89</v>
      </c>
      <c r="F23">
        <v>50</v>
      </c>
      <c r="G23">
        <v>802</v>
      </c>
      <c r="H23">
        <v>-158</v>
      </c>
      <c r="I23" t="s">
        <v>39</v>
      </c>
      <c r="J23">
        <v>3.88</v>
      </c>
      <c r="K23">
        <v>5</v>
      </c>
      <c r="L23">
        <v>29298.75</v>
      </c>
      <c r="M23">
        <v>29283.75</v>
      </c>
      <c r="N23">
        <v>29268.75</v>
      </c>
      <c r="O23">
        <v>60</v>
      </c>
      <c r="P23">
        <v>60</v>
      </c>
      <c r="Q23" s="5">
        <v>-60</v>
      </c>
      <c r="R23" t="s">
        <v>40</v>
      </c>
      <c r="S23" t="s">
        <v>41</v>
      </c>
      <c r="T23">
        <v>60</v>
      </c>
      <c r="U23">
        <v>5</v>
      </c>
      <c r="V23" t="s">
        <v>42</v>
      </c>
      <c r="W23" t="s">
        <v>49</v>
      </c>
      <c r="X23">
        <v>2313</v>
      </c>
      <c r="Y23">
        <v>12.8979</v>
      </c>
      <c r="Z23" t="s">
        <v>44</v>
      </c>
      <c r="AA23" t="s">
        <v>45</v>
      </c>
      <c r="AB23" t="s">
        <v>46</v>
      </c>
      <c r="AC23" t="s">
        <v>46</v>
      </c>
      <c r="AD23" t="s">
        <v>46</v>
      </c>
      <c r="AE23" t="s">
        <v>46</v>
      </c>
      <c r="AF23" t="s">
        <v>46</v>
      </c>
      <c r="AG23" t="s">
        <v>44</v>
      </c>
      <c r="AH23" t="s">
        <v>46</v>
      </c>
      <c r="AI23" t="s">
        <v>50</v>
      </c>
      <c r="AJ23">
        <v>29298.75</v>
      </c>
    </row>
    <row r="24" spans="1:36" x14ac:dyDescent="0.25">
      <c r="A24" t="s">
        <v>81</v>
      </c>
      <c r="B24">
        <v>28851.25</v>
      </c>
      <c r="C24">
        <v>28943.75</v>
      </c>
      <c r="D24">
        <v>370</v>
      </c>
      <c r="E24">
        <v>28925.15</v>
      </c>
      <c r="F24">
        <v>40</v>
      </c>
      <c r="G24">
        <v>823</v>
      </c>
      <c r="H24">
        <v>123</v>
      </c>
      <c r="I24" t="s">
        <v>39</v>
      </c>
      <c r="J24">
        <v>2.76</v>
      </c>
      <c r="K24">
        <v>6</v>
      </c>
      <c r="L24">
        <v>28938.75</v>
      </c>
      <c r="M24">
        <v>28953.75</v>
      </c>
      <c r="N24">
        <v>28968.75</v>
      </c>
      <c r="O24">
        <v>60</v>
      </c>
      <c r="P24">
        <v>60</v>
      </c>
      <c r="Q24" s="5">
        <v>60</v>
      </c>
      <c r="R24" t="s">
        <v>56</v>
      </c>
      <c r="S24" t="s">
        <v>66</v>
      </c>
      <c r="T24">
        <v>10</v>
      </c>
      <c r="U24">
        <v>65</v>
      </c>
      <c r="V24" t="s">
        <v>42</v>
      </c>
      <c r="W24" t="s">
        <v>78</v>
      </c>
      <c r="X24">
        <v>2312</v>
      </c>
      <c r="Y24">
        <v>14.4819</v>
      </c>
      <c r="Z24" t="s">
        <v>44</v>
      </c>
      <c r="AA24" t="s">
        <v>45</v>
      </c>
      <c r="AB24" t="s">
        <v>44</v>
      </c>
      <c r="AC24" t="s">
        <v>46</v>
      </c>
      <c r="AD24" t="s">
        <v>46</v>
      </c>
      <c r="AE24" t="s">
        <v>46</v>
      </c>
      <c r="AF24" t="s">
        <v>46</v>
      </c>
      <c r="AG24" t="s">
        <v>46</v>
      </c>
      <c r="AH24" t="s">
        <v>46</v>
      </c>
      <c r="AI24" t="s">
        <v>62</v>
      </c>
      <c r="AJ24">
        <v>28968.75</v>
      </c>
    </row>
    <row r="25" spans="1:36" x14ac:dyDescent="0.25">
      <c r="A25" t="s">
        <v>82</v>
      </c>
      <c r="B25">
        <v>29070</v>
      </c>
      <c r="C25">
        <v>29122.5</v>
      </c>
      <c r="D25">
        <v>210</v>
      </c>
      <c r="E25">
        <v>29074.59</v>
      </c>
      <c r="F25">
        <v>20</v>
      </c>
      <c r="G25">
        <v>1141</v>
      </c>
      <c r="H25">
        <v>183</v>
      </c>
      <c r="I25" t="s">
        <v>39</v>
      </c>
      <c r="J25">
        <v>2.42</v>
      </c>
      <c r="K25">
        <v>7</v>
      </c>
      <c r="L25">
        <v>29112.5</v>
      </c>
      <c r="M25">
        <v>29127.5</v>
      </c>
      <c r="N25">
        <v>29142.5</v>
      </c>
      <c r="O25">
        <v>60</v>
      </c>
      <c r="P25">
        <v>60</v>
      </c>
      <c r="Q25" s="5">
        <v>-60</v>
      </c>
      <c r="R25" t="s">
        <v>56</v>
      </c>
      <c r="S25" t="s">
        <v>66</v>
      </c>
      <c r="T25">
        <v>60</v>
      </c>
      <c r="U25">
        <v>35</v>
      </c>
      <c r="V25" t="s">
        <v>42</v>
      </c>
      <c r="W25" t="s">
        <v>43</v>
      </c>
      <c r="X25">
        <v>2311</v>
      </c>
      <c r="Y25">
        <v>8.2577999999999996</v>
      </c>
      <c r="Z25" t="s">
        <v>44</v>
      </c>
      <c r="AA25" t="s">
        <v>45</v>
      </c>
      <c r="AB25" t="s">
        <v>46</v>
      </c>
      <c r="AC25" t="s">
        <v>46</v>
      </c>
      <c r="AD25" t="s">
        <v>46</v>
      </c>
      <c r="AE25" t="s">
        <v>46</v>
      </c>
      <c r="AF25" t="s">
        <v>46</v>
      </c>
      <c r="AG25" t="s">
        <v>46</v>
      </c>
      <c r="AH25" t="s">
        <v>46</v>
      </c>
      <c r="AI25" t="s">
        <v>50</v>
      </c>
      <c r="AJ25">
        <v>29112.5</v>
      </c>
    </row>
    <row r="26" spans="1:36" x14ac:dyDescent="0.25">
      <c r="A26" t="s">
        <v>83</v>
      </c>
      <c r="B26">
        <v>29193.75</v>
      </c>
      <c r="C26">
        <v>29250</v>
      </c>
      <c r="D26">
        <v>225</v>
      </c>
      <c r="E26">
        <v>29270.18</v>
      </c>
      <c r="F26">
        <v>25</v>
      </c>
      <c r="G26">
        <v>853</v>
      </c>
      <c r="H26">
        <v>215</v>
      </c>
      <c r="I26" t="s">
        <v>55</v>
      </c>
      <c r="J26">
        <v>5.62</v>
      </c>
      <c r="K26">
        <v>5</v>
      </c>
      <c r="L26">
        <v>29231.25</v>
      </c>
      <c r="M26">
        <v>29256.25</v>
      </c>
      <c r="N26">
        <v>29286.25</v>
      </c>
      <c r="O26">
        <v>100</v>
      </c>
      <c r="P26">
        <v>120</v>
      </c>
      <c r="Q26" s="5">
        <v>120</v>
      </c>
      <c r="R26" t="s">
        <v>56</v>
      </c>
      <c r="S26" t="s">
        <v>56</v>
      </c>
      <c r="T26">
        <v>95</v>
      </c>
      <c r="U26">
        <v>120</v>
      </c>
      <c r="V26" t="s">
        <v>42</v>
      </c>
      <c r="W26" t="s">
        <v>84</v>
      </c>
      <c r="X26">
        <v>2332</v>
      </c>
      <c r="Y26">
        <v>4.4512999999999998</v>
      </c>
      <c r="Z26" t="s">
        <v>44</v>
      </c>
      <c r="AA26" t="s">
        <v>45</v>
      </c>
      <c r="AB26" t="s">
        <v>46</v>
      </c>
      <c r="AC26" t="s">
        <v>46</v>
      </c>
      <c r="AD26" t="s">
        <v>46</v>
      </c>
      <c r="AE26" t="s">
        <v>46</v>
      </c>
      <c r="AF26" t="s">
        <v>46</v>
      </c>
      <c r="AG26" t="s">
        <v>44</v>
      </c>
      <c r="AH26" t="s">
        <v>46</v>
      </c>
      <c r="AI26" t="s">
        <v>62</v>
      </c>
      <c r="AJ26">
        <v>29286.25</v>
      </c>
    </row>
  </sheetData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Eduardo</cp:lastModifiedBy>
  <dcterms:created xsi:type="dcterms:W3CDTF">2026-05-23T01:33:49Z</dcterms:created>
  <dcterms:modified xsi:type="dcterms:W3CDTF">2026-05-28T02:52:01Z</dcterms:modified>
</cp:coreProperties>
</file>