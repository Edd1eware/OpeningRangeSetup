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_99_\Desktop\codding\OpeningRangeSetup\EddiewareOpeningRangeSetup\EddiewareOpeningRangeSetup\"/>
    </mc:Choice>
  </mc:AlternateContent>
  <xr:revisionPtr revIDLastSave="0" documentId="13_ncr:1_{121239F7-4D22-4A59-89D5-3D6D24FA9990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A2" i="1"/>
</calcChain>
</file>

<file path=xl/sharedStrings.xml><?xml version="1.0" encoding="utf-8"?>
<sst xmlns="http://schemas.openxmlformats.org/spreadsheetml/2006/main" count="447" uniqueCount="105">
  <si>
    <t>win rate</t>
  </si>
  <si>
    <t>profit factor</t>
  </si>
  <si>
    <t>fecha</t>
  </si>
  <si>
    <t>or_low</t>
  </si>
  <si>
    <t>or_high</t>
  </si>
  <si>
    <t>range</t>
  </si>
  <si>
    <t>VWAP_entry</t>
  </si>
  <si>
    <t>Body</t>
  </si>
  <si>
    <t>Volume_entry</t>
  </si>
  <si>
    <t>Delta_entry</t>
  </si>
  <si>
    <t>BreakOut_SPEED</t>
  </si>
  <si>
    <t>BreakOut_TICKS_PER_SEC</t>
  </si>
  <si>
    <t>score total</t>
  </si>
  <si>
    <t>SL_price</t>
  </si>
  <si>
    <t>Entry_price</t>
  </si>
  <si>
    <t>TP_price</t>
  </si>
  <si>
    <t>SL_ticks</t>
  </si>
  <si>
    <t>TP_ticks</t>
  </si>
  <si>
    <t>Exit_price</t>
  </si>
  <si>
    <t>result TP SL BE</t>
  </si>
  <si>
    <t>Side</t>
  </si>
  <si>
    <t>Speed_Profile</t>
  </si>
  <si>
    <t>MAE_ticks</t>
  </si>
  <si>
    <t>MFE_ticks</t>
  </si>
  <si>
    <t>Exporter_VERSION</t>
  </si>
  <si>
    <t>EntryTime_NY</t>
  </si>
  <si>
    <t>EntryBar</t>
  </si>
  <si>
    <t>Speed_Elapsed_SECONDS</t>
  </si>
  <si>
    <t>Speed_Replay_Fallback</t>
  </si>
  <si>
    <t>Speed_Timing_Source</t>
  </si>
  <si>
    <t>Range_OK</t>
  </si>
  <si>
    <t>Body_OK</t>
  </si>
  <si>
    <t>Volume_OK</t>
  </si>
  <si>
    <t>Delta_OK</t>
  </si>
  <si>
    <t>Time_OK</t>
  </si>
  <si>
    <t>VWAP_OK</t>
  </si>
  <si>
    <t>Speed_OK</t>
  </si>
  <si>
    <t>Result_Label</t>
  </si>
  <si>
    <t>APlus_Structure</t>
  </si>
  <si>
    <t>Imbalance_Group_3</t>
  </si>
  <si>
    <t>Imbalance_Group_Price</t>
  </si>
  <si>
    <t>Imbalance_Count</t>
  </si>
  <si>
    <t>Speed_Ignored_By_Structure</t>
  </si>
  <si>
    <t>Previous_Volume</t>
  </si>
  <si>
    <t>Previous_Delta</t>
  </si>
  <si>
    <t>Volume_Increasing</t>
  </si>
  <si>
    <t>Delta_Change</t>
  </si>
  <si>
    <t>Delta_With_Side</t>
  </si>
  <si>
    <t>Price_Accepted_After_Imbalance</t>
  </si>
  <si>
    <t>Signal_Source</t>
  </si>
  <si>
    <t>APlus_Absorption</t>
  </si>
  <si>
    <t>APlus_Speed</t>
  </si>
  <si>
    <t>Cumulative_Delta_entry</t>
  </si>
  <si>
    <t>Cumulative_Delta_Source</t>
  </si>
  <si>
    <t>Cvd_Peak</t>
  </si>
  <si>
    <t>Cvd_Current</t>
  </si>
  <si>
    <t>Cvd_Pullback_Pct</t>
  </si>
  <si>
    <t>Cvd_Pullback_Label</t>
  </si>
  <si>
    <t>2026-05-04</t>
  </si>
  <si>
    <t>TIME_OVER</t>
  </si>
  <si>
    <t>score-exporter-2026-05-30-aplus-structure-export</t>
  </si>
  <si>
    <t>09:40:00</t>
  </si>
  <si>
    <t>TRUE</t>
  </si>
  <si>
    <t>FALSE</t>
  </si>
  <si>
    <t>2026-05-05</t>
  </si>
  <si>
    <t>2026-05-06</t>
  </si>
  <si>
    <t>2026-05-07</t>
  </si>
  <si>
    <t>2026-05-08</t>
  </si>
  <si>
    <t>2026-05-11</t>
  </si>
  <si>
    <t>A+ speed</t>
  </si>
  <si>
    <t>BUY</t>
  </si>
  <si>
    <t>POTENTIAL_RUNNER</t>
  </si>
  <si>
    <t>09:31:00</t>
  </si>
  <si>
    <t>LastTime</t>
  </si>
  <si>
    <t>TP</t>
  </si>
  <si>
    <t>BREAKOUT</t>
  </si>
  <si>
    <t>SessionDeltaSum</t>
  </si>
  <si>
    <t>Excelente</t>
  </si>
  <si>
    <t>2026-05-12</t>
  </si>
  <si>
    <t>2026-05-13</t>
  </si>
  <si>
    <t>2026-05-14</t>
  </si>
  <si>
    <t>09:32:00</t>
  </si>
  <si>
    <t>2026-05-15</t>
  </si>
  <si>
    <t>SELL</t>
  </si>
  <si>
    <t>SL</t>
  </si>
  <si>
    <t>Riesgo de reversion</t>
  </si>
  <si>
    <t>2026-05-18</t>
  </si>
  <si>
    <t>09:36:00</t>
  </si>
  <si>
    <t>Normal</t>
  </si>
  <si>
    <t>2026-05-19</t>
  </si>
  <si>
    <t>2026-05-20</t>
  </si>
  <si>
    <t>2026-05-21</t>
  </si>
  <si>
    <t>2026-05-22</t>
  </si>
  <si>
    <t>2026-05-25</t>
  </si>
  <si>
    <t>2026-05-26</t>
  </si>
  <si>
    <t>09:35:00</t>
  </si>
  <si>
    <t>2026-05-27</t>
  </si>
  <si>
    <t>normal speed</t>
  </si>
  <si>
    <t>SCALP_NORMAL</t>
  </si>
  <si>
    <t>2026-05-28</t>
  </si>
  <si>
    <t>2026-05-29</t>
  </si>
  <si>
    <t>A+ ABSORTION</t>
  </si>
  <si>
    <t>2026-06-01</t>
  </si>
  <si>
    <t>2026-06-02</t>
  </si>
  <si>
    <t>2026-06-03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</si>
</sst>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##;\-0.##;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3" fillId="4" borderId="2" applyNumberFormat="0" applyFont="0" applyAlignment="0" applyProtection="0"/>
  </cellStyleXfs>
  <cellXfs count="10">
    <xf numFmtId="0" fontId="0" fillId="0" borderId="0" xfId="0"/>
    <xf numFmtId="0" fontId="1" fillId="2" borderId="0" xfId="0" applyFont="1" applyFill="1"/>
    <xf numFmtId="164" fontId="0" fillId="0" borderId="0" xfId="0" applyNumberFormat="1"/>
    <xf numFmtId="10" fontId="2" fillId="0" borderId="1" xfId="0" applyNumberFormat="1" applyFont="1" applyBorder="1"/>
    <xf numFmtId="2" fontId="2" fillId="0" borderId="1" xfId="0" applyNumberFormat="1" applyFont="1" applyBorder="1"/>
    <xf numFmtId="0" fontId="2" fillId="3" borderId="1" xfId="0" applyFont="1" applyFill="1" applyBorder="1"/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0" fontId="4" fillId="4" borderId="2" xfId="1" applyFont="1"/>
  </cellXfs>
  <cellStyles count="2">
    <cellStyle name="Normal" xfId="0" builtinId="0"/>
    <cellStyle name="Notas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754707</xdr:colOff>
      <xdr:row>50</xdr:row>
      <xdr:rowOff>96593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1CF65B-359D-4385-9DC5-3B4E8F937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994707" cy="96215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6"/>
  <sheetViews>
    <sheetView tabSelected="1" topLeftCell="Y1" zoomScale="70" zoomScaleNormal="70" workbookViewId="0">
      <selection activeCell="BC3" sqref="BC3"/>
    </sheetView>
  </sheetViews>
  <sheetFormatPr baseColWidth="10" defaultColWidth="9.140625" defaultRowHeight="15" x14ac:dyDescent="0.25"/>
  <cols>
    <col min="1" max="1" width="13.140625" bestFit="1" customWidth="1"/>
    <col min="2" max="2" width="15.85546875" bestFit="1" customWidth="1"/>
    <col min="3" max="3" width="12" customWidth="1"/>
    <col min="4" max="4" width="10" customWidth="1"/>
    <col min="5" max="5" width="14" customWidth="1"/>
    <col min="6" max="6" width="10" customWidth="1"/>
    <col min="7" max="8" width="14" customWidth="1"/>
    <col min="9" max="12" width="12" customWidth="1"/>
    <col min="13" max="13" width="16" customWidth="1"/>
    <col min="14" max="17" width="10" customWidth="1"/>
    <col min="18" max="18" width="17.140625" customWidth="1"/>
    <col min="20" max="20" width="22.42578125" bestFit="1" customWidth="1"/>
    <col min="23" max="23" width="9.140625" customWidth="1"/>
    <col min="24" max="24" width="17.42578125" bestFit="1" customWidth="1"/>
    <col min="25" max="35" width="9.140625" customWidth="1"/>
    <col min="36" max="36" width="16.7109375" bestFit="1" customWidth="1"/>
    <col min="37" max="47" width="9.140625" customWidth="1"/>
    <col min="48" max="48" width="18.7109375" customWidth="1"/>
    <col min="49" max="54" width="9.140625" customWidth="1"/>
    <col min="55" max="55" width="12.85546875" customWidth="1"/>
    <col min="56" max="56" width="25.28515625" bestFit="1" customWidth="1"/>
  </cols>
  <sheetData>
    <row r="1" spans="1:56" ht="21" x14ac:dyDescent="0.35">
      <c r="A1" s="5" t="s">
        <v>0</v>
      </c>
      <c r="B1" s="5" t="s">
        <v>1</v>
      </c>
    </row>
    <row r="2" spans="1:56" ht="21" x14ac:dyDescent="0.35">
      <c r="A2" s="3">
        <f>IF((COUNTIF(R4:R26,"&gt;0")+COUNTIF(R4:R26,"&lt;0"))=0,"",COUNTIF(R4:R26,"&gt;0")/(COUNTIF(R4:R26,"&gt;0")+COUNTIF(R4:R26,"&lt;0")))</f>
        <v>0.66666666666666663</v>
      </c>
      <c r="B2" s="4">
        <f>IF(ABS(SUMIF(R4:R26,"&lt;0",R4:R26))=0,IF(SUMIF(R4:R26,"&gt;0",R4:R26)&gt;0,"INF",""),SUMIF(R4:R26,"&gt;0",R4:R26)/ABS(SUMIF(R4:R26,"&lt;0",R4:R26)))</f>
        <v>2.4878048780487805</v>
      </c>
    </row>
    <row r="3" spans="1:5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</row>
    <row r="4" spans="1:56" x14ac:dyDescent="0.25">
      <c r="A4" t="s">
        <v>58</v>
      </c>
      <c r="B4">
        <v>27837.5</v>
      </c>
      <c r="C4">
        <v>27875</v>
      </c>
      <c r="D4">
        <v>150</v>
      </c>
      <c r="R4" s="2" t="s">
        <v>59</v>
      </c>
      <c r="W4" t="s">
        <v>60</v>
      </c>
      <c r="X4" s="8" t="s">
        <v>61</v>
      </c>
      <c r="AG4" t="s">
        <v>62</v>
      </c>
      <c r="AJ4" t="s">
        <v>59</v>
      </c>
      <c r="AK4" t="s">
        <v>63</v>
      </c>
      <c r="AN4">
        <v>0</v>
      </c>
      <c r="AO4" t="s">
        <v>63</v>
      </c>
      <c r="AV4" t="s">
        <v>59</v>
      </c>
      <c r="AW4" t="s">
        <v>63</v>
      </c>
      <c r="AX4" t="s">
        <v>63</v>
      </c>
      <c r="BC4" s="9"/>
    </row>
    <row r="5" spans="1:56" x14ac:dyDescent="0.25">
      <c r="A5" t="s">
        <v>64</v>
      </c>
      <c r="B5">
        <v>27986.25</v>
      </c>
      <c r="C5">
        <v>28023.75</v>
      </c>
      <c r="D5">
        <v>150</v>
      </c>
      <c r="R5" s="2" t="s">
        <v>59</v>
      </c>
      <c r="W5" t="s">
        <v>60</v>
      </c>
      <c r="X5" s="8" t="s">
        <v>61</v>
      </c>
      <c r="AG5" t="s">
        <v>62</v>
      </c>
      <c r="AJ5" t="s">
        <v>59</v>
      </c>
      <c r="AK5" t="s">
        <v>63</v>
      </c>
      <c r="AN5">
        <v>0</v>
      </c>
      <c r="AO5" t="s">
        <v>63</v>
      </c>
      <c r="AV5" t="s">
        <v>59</v>
      </c>
      <c r="AW5" t="s">
        <v>63</v>
      </c>
      <c r="AX5" t="s">
        <v>63</v>
      </c>
      <c r="BC5" s="9"/>
    </row>
    <row r="6" spans="1:56" x14ac:dyDescent="0.25">
      <c r="A6" t="s">
        <v>65</v>
      </c>
      <c r="B6">
        <v>28336.25</v>
      </c>
      <c r="C6">
        <v>28392.5</v>
      </c>
      <c r="D6">
        <v>225</v>
      </c>
      <c r="R6" s="2" t="s">
        <v>59</v>
      </c>
      <c r="W6" t="s">
        <v>60</v>
      </c>
      <c r="X6" s="8" t="s">
        <v>61</v>
      </c>
      <c r="AG6" t="s">
        <v>62</v>
      </c>
      <c r="AJ6" t="s">
        <v>59</v>
      </c>
      <c r="AK6" t="s">
        <v>63</v>
      </c>
      <c r="AN6">
        <v>0</v>
      </c>
      <c r="AO6" t="s">
        <v>63</v>
      </c>
      <c r="AV6" t="s">
        <v>59</v>
      </c>
      <c r="AW6" t="s">
        <v>63</v>
      </c>
      <c r="AX6" t="s">
        <v>63</v>
      </c>
      <c r="BC6" s="9"/>
    </row>
    <row r="7" spans="1:56" x14ac:dyDescent="0.25">
      <c r="A7" t="s">
        <v>66</v>
      </c>
      <c r="B7">
        <v>28730</v>
      </c>
      <c r="C7">
        <v>28766.25</v>
      </c>
      <c r="D7">
        <v>145</v>
      </c>
      <c r="R7" s="2" t="s">
        <v>59</v>
      </c>
      <c r="W7" t="s">
        <v>60</v>
      </c>
      <c r="X7" s="8" t="s">
        <v>61</v>
      </c>
      <c r="AG7" t="s">
        <v>62</v>
      </c>
      <c r="AJ7" t="s">
        <v>59</v>
      </c>
      <c r="AK7" t="s">
        <v>63</v>
      </c>
      <c r="AN7">
        <v>0</v>
      </c>
      <c r="AO7" t="s">
        <v>63</v>
      </c>
      <c r="AV7" t="s">
        <v>59</v>
      </c>
      <c r="AW7" t="s">
        <v>63</v>
      </c>
      <c r="AX7" t="s">
        <v>63</v>
      </c>
      <c r="BC7" s="9"/>
    </row>
    <row r="8" spans="1:56" x14ac:dyDescent="0.25">
      <c r="A8" t="s">
        <v>67</v>
      </c>
      <c r="B8">
        <v>28860</v>
      </c>
      <c r="C8">
        <v>28903.75</v>
      </c>
      <c r="D8">
        <v>175</v>
      </c>
      <c r="R8" s="2" t="s">
        <v>59</v>
      </c>
      <c r="W8" t="s">
        <v>60</v>
      </c>
      <c r="X8" s="8" t="s">
        <v>61</v>
      </c>
      <c r="AG8" t="s">
        <v>62</v>
      </c>
      <c r="AJ8" t="s">
        <v>59</v>
      </c>
      <c r="AK8" t="s">
        <v>63</v>
      </c>
      <c r="AN8">
        <v>0</v>
      </c>
      <c r="AO8" t="s">
        <v>63</v>
      </c>
      <c r="AV8" t="s">
        <v>59</v>
      </c>
      <c r="AW8" t="s">
        <v>63</v>
      </c>
      <c r="AX8" t="s">
        <v>63</v>
      </c>
      <c r="BC8" s="9"/>
    </row>
    <row r="9" spans="1:56" x14ac:dyDescent="0.25">
      <c r="A9" t="s">
        <v>68</v>
      </c>
      <c r="B9">
        <v>29282.5</v>
      </c>
      <c r="C9">
        <v>29346.25</v>
      </c>
      <c r="D9">
        <v>255</v>
      </c>
      <c r="E9">
        <v>29316.62</v>
      </c>
      <c r="F9">
        <v>65</v>
      </c>
      <c r="G9">
        <v>826</v>
      </c>
      <c r="H9">
        <v>128</v>
      </c>
      <c r="I9" t="s">
        <v>69</v>
      </c>
      <c r="J9">
        <v>9.19</v>
      </c>
      <c r="K9">
        <v>8</v>
      </c>
      <c r="L9">
        <v>29345</v>
      </c>
      <c r="M9">
        <v>29362.5</v>
      </c>
      <c r="N9">
        <v>29380</v>
      </c>
      <c r="O9">
        <v>70</v>
      </c>
      <c r="P9">
        <v>70</v>
      </c>
      <c r="Q9">
        <v>29380</v>
      </c>
      <c r="R9" s="2">
        <v>70</v>
      </c>
      <c r="S9" t="s">
        <v>70</v>
      </c>
      <c r="T9" t="s">
        <v>71</v>
      </c>
      <c r="U9">
        <v>5</v>
      </c>
      <c r="V9">
        <v>70</v>
      </c>
      <c r="W9" t="s">
        <v>60</v>
      </c>
      <c r="X9" s="8" t="s">
        <v>72</v>
      </c>
      <c r="Y9">
        <v>2311</v>
      </c>
      <c r="Z9">
        <v>7.0693999999999999</v>
      </c>
      <c r="AA9" t="s">
        <v>63</v>
      </c>
      <c r="AB9" t="s">
        <v>73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74</v>
      </c>
      <c r="AK9" t="s">
        <v>63</v>
      </c>
      <c r="AN9">
        <v>0</v>
      </c>
      <c r="AO9" t="s">
        <v>63</v>
      </c>
      <c r="AP9">
        <v>6846</v>
      </c>
      <c r="AQ9">
        <v>296</v>
      </c>
      <c r="AR9" t="s">
        <v>63</v>
      </c>
      <c r="AS9">
        <v>-168</v>
      </c>
      <c r="AT9" t="s">
        <v>63</v>
      </c>
      <c r="AU9" t="s">
        <v>63</v>
      </c>
      <c r="AV9" t="s">
        <v>75</v>
      </c>
      <c r="AW9" t="s">
        <v>63</v>
      </c>
      <c r="AX9" t="s">
        <v>63</v>
      </c>
      <c r="AY9">
        <v>1796</v>
      </c>
      <c r="AZ9" t="s">
        <v>76</v>
      </c>
      <c r="BA9">
        <v>1796</v>
      </c>
      <c r="BB9">
        <v>1796</v>
      </c>
      <c r="BC9" s="9">
        <v>0</v>
      </c>
      <c r="BD9" t="s">
        <v>77</v>
      </c>
    </row>
    <row r="10" spans="1:56" x14ac:dyDescent="0.25">
      <c r="A10" t="s">
        <v>78</v>
      </c>
      <c r="B10">
        <v>29146.25</v>
      </c>
      <c r="C10">
        <v>29227.5</v>
      </c>
      <c r="D10">
        <v>325</v>
      </c>
      <c r="R10" s="2" t="s">
        <v>59</v>
      </c>
      <c r="W10" t="s">
        <v>60</v>
      </c>
      <c r="X10" s="8" t="s">
        <v>61</v>
      </c>
      <c r="AG10" t="s">
        <v>62</v>
      </c>
      <c r="AJ10" t="s">
        <v>59</v>
      </c>
      <c r="AK10" t="s">
        <v>63</v>
      </c>
      <c r="AN10">
        <v>0</v>
      </c>
      <c r="AO10" t="s">
        <v>63</v>
      </c>
      <c r="AV10" t="s">
        <v>59</v>
      </c>
      <c r="AW10" t="s">
        <v>63</v>
      </c>
      <c r="AX10" t="s">
        <v>63</v>
      </c>
      <c r="BC10" s="9"/>
    </row>
    <row r="11" spans="1:56" x14ac:dyDescent="0.25">
      <c r="A11" t="s">
        <v>79</v>
      </c>
      <c r="B11">
        <v>29252.5</v>
      </c>
      <c r="C11">
        <v>29288.75</v>
      </c>
      <c r="D11">
        <v>145</v>
      </c>
      <c r="R11" s="2" t="s">
        <v>59</v>
      </c>
      <c r="W11" t="s">
        <v>60</v>
      </c>
      <c r="X11" s="8" t="s">
        <v>61</v>
      </c>
      <c r="AG11" t="s">
        <v>62</v>
      </c>
      <c r="AJ11" t="s">
        <v>59</v>
      </c>
      <c r="AK11" t="s">
        <v>63</v>
      </c>
      <c r="AN11">
        <v>0</v>
      </c>
      <c r="AO11" t="s">
        <v>63</v>
      </c>
      <c r="AV11" t="s">
        <v>59</v>
      </c>
      <c r="AW11" t="s">
        <v>63</v>
      </c>
      <c r="AX11" t="s">
        <v>63</v>
      </c>
      <c r="BC11" s="9"/>
    </row>
    <row r="12" spans="1:56" x14ac:dyDescent="0.25">
      <c r="A12" t="s">
        <v>80</v>
      </c>
      <c r="B12">
        <v>29460</v>
      </c>
      <c r="C12">
        <v>29492.5</v>
      </c>
      <c r="D12">
        <v>130</v>
      </c>
      <c r="E12">
        <v>29543.47</v>
      </c>
      <c r="F12">
        <v>55</v>
      </c>
      <c r="G12">
        <v>879</v>
      </c>
      <c r="H12">
        <v>241</v>
      </c>
      <c r="I12" t="s">
        <v>69</v>
      </c>
      <c r="J12">
        <v>8.24</v>
      </c>
      <c r="K12">
        <v>6</v>
      </c>
      <c r="L12">
        <v>29500</v>
      </c>
      <c r="M12">
        <v>29512.5</v>
      </c>
      <c r="N12">
        <v>29525</v>
      </c>
      <c r="O12">
        <v>50</v>
      </c>
      <c r="P12">
        <v>50</v>
      </c>
      <c r="Q12">
        <v>29525</v>
      </c>
      <c r="R12" s="2">
        <v>50</v>
      </c>
      <c r="S12" t="s">
        <v>70</v>
      </c>
      <c r="T12" t="s">
        <v>71</v>
      </c>
      <c r="U12">
        <v>10</v>
      </c>
      <c r="V12">
        <v>50</v>
      </c>
      <c r="W12" t="s">
        <v>60</v>
      </c>
      <c r="X12" s="8" t="s">
        <v>81</v>
      </c>
      <c r="Y12">
        <v>2312</v>
      </c>
      <c r="Z12">
        <v>6.6734</v>
      </c>
      <c r="AA12" t="s">
        <v>63</v>
      </c>
      <c r="AB12" t="s">
        <v>73</v>
      </c>
      <c r="AC12" t="s">
        <v>62</v>
      </c>
      <c r="AD12" t="s">
        <v>62</v>
      </c>
      <c r="AE12" t="s">
        <v>62</v>
      </c>
      <c r="AF12" t="s">
        <v>62</v>
      </c>
      <c r="AG12" t="s">
        <v>62</v>
      </c>
      <c r="AH12" t="s">
        <v>63</v>
      </c>
      <c r="AI12" t="s">
        <v>62</v>
      </c>
      <c r="AJ12" t="s">
        <v>74</v>
      </c>
      <c r="AK12" t="s">
        <v>63</v>
      </c>
      <c r="AN12">
        <v>0</v>
      </c>
      <c r="AO12" t="s">
        <v>63</v>
      </c>
      <c r="AP12">
        <v>3078</v>
      </c>
      <c r="AQ12">
        <v>-22</v>
      </c>
      <c r="AR12" t="s">
        <v>63</v>
      </c>
      <c r="AS12">
        <v>263</v>
      </c>
      <c r="AT12" t="s">
        <v>62</v>
      </c>
      <c r="AU12" t="s">
        <v>63</v>
      </c>
      <c r="AV12" t="s">
        <v>75</v>
      </c>
      <c r="AW12" t="s">
        <v>63</v>
      </c>
      <c r="AX12" t="s">
        <v>63</v>
      </c>
      <c r="AY12">
        <v>-1936</v>
      </c>
      <c r="AZ12" t="s">
        <v>76</v>
      </c>
      <c r="BA12">
        <v>-1936</v>
      </c>
      <c r="BB12">
        <v>-1936</v>
      </c>
      <c r="BC12" s="9">
        <v>0</v>
      </c>
      <c r="BD12" t="s">
        <v>77</v>
      </c>
    </row>
    <row r="13" spans="1:56" s="6" customFormat="1" x14ac:dyDescent="0.25">
      <c r="A13" s="6" t="s">
        <v>82</v>
      </c>
      <c r="B13" s="6">
        <v>29241.25</v>
      </c>
      <c r="C13" s="6">
        <v>29291.25</v>
      </c>
      <c r="D13" s="6">
        <v>200</v>
      </c>
      <c r="E13" s="6">
        <v>29294.78</v>
      </c>
      <c r="F13" s="6">
        <v>65</v>
      </c>
      <c r="G13" s="6">
        <v>839</v>
      </c>
      <c r="H13" s="6">
        <v>-351</v>
      </c>
      <c r="I13" s="6" t="s">
        <v>69</v>
      </c>
      <c r="J13" s="6">
        <v>12.12</v>
      </c>
      <c r="K13" s="6">
        <v>8</v>
      </c>
      <c r="L13" s="6">
        <v>29252.5</v>
      </c>
      <c r="M13" s="6">
        <v>29225</v>
      </c>
      <c r="N13" s="6">
        <v>29197.5</v>
      </c>
      <c r="O13" s="6">
        <v>110</v>
      </c>
      <c r="P13" s="6">
        <v>110</v>
      </c>
      <c r="Q13" s="6">
        <v>29252.5</v>
      </c>
      <c r="R13" s="7">
        <v>-110</v>
      </c>
      <c r="S13" s="6" t="s">
        <v>83</v>
      </c>
      <c r="T13" s="6" t="s">
        <v>71</v>
      </c>
      <c r="U13" s="6">
        <v>115</v>
      </c>
      <c r="V13" s="6">
        <v>85</v>
      </c>
      <c r="W13" s="6" t="s">
        <v>60</v>
      </c>
      <c r="X13" s="8" t="s">
        <v>72</v>
      </c>
      <c r="Y13" s="6">
        <v>2311</v>
      </c>
      <c r="Z13" s="6">
        <v>5.3627000000000002</v>
      </c>
      <c r="AA13" s="6" t="s">
        <v>63</v>
      </c>
      <c r="AB13" s="6" t="s">
        <v>73</v>
      </c>
      <c r="AC13" s="6" t="s">
        <v>62</v>
      </c>
      <c r="AD13" s="6" t="s">
        <v>62</v>
      </c>
      <c r="AE13" s="6" t="s">
        <v>62</v>
      </c>
      <c r="AF13" s="6" t="s">
        <v>62</v>
      </c>
      <c r="AG13" s="6" t="s">
        <v>62</v>
      </c>
      <c r="AH13" s="6" t="s">
        <v>62</v>
      </c>
      <c r="AI13" s="6" t="s">
        <v>62</v>
      </c>
      <c r="AJ13" s="6" t="s">
        <v>84</v>
      </c>
      <c r="AK13" s="6" t="s">
        <v>63</v>
      </c>
      <c r="AN13" s="6">
        <v>0</v>
      </c>
      <c r="AO13" s="6" t="s">
        <v>63</v>
      </c>
      <c r="AP13" s="6">
        <v>7150</v>
      </c>
      <c r="AQ13" s="6">
        <v>136</v>
      </c>
      <c r="AR13" s="6" t="s">
        <v>63</v>
      </c>
      <c r="AS13" s="6">
        <v>-487</v>
      </c>
      <c r="AT13" s="6" t="s">
        <v>62</v>
      </c>
      <c r="AU13" s="6" t="s">
        <v>63</v>
      </c>
      <c r="AV13" s="6" t="s">
        <v>75</v>
      </c>
      <c r="AW13" s="6" t="s">
        <v>63</v>
      </c>
      <c r="AX13" s="6" t="s">
        <v>63</v>
      </c>
      <c r="AY13" s="6">
        <v>-1779</v>
      </c>
      <c r="AZ13" s="6" t="s">
        <v>76</v>
      </c>
      <c r="BA13" s="6">
        <v>-2027</v>
      </c>
      <c r="BB13" s="6">
        <v>-1779</v>
      </c>
      <c r="BC13" s="9">
        <v>1.95</v>
      </c>
      <c r="BD13" s="6" t="s">
        <v>85</v>
      </c>
    </row>
    <row r="14" spans="1:56" x14ac:dyDescent="0.25">
      <c r="A14" t="s">
        <v>86</v>
      </c>
      <c r="B14">
        <v>29305</v>
      </c>
      <c r="C14">
        <v>29356.25</v>
      </c>
      <c r="D14">
        <v>205</v>
      </c>
      <c r="E14">
        <v>29216.02</v>
      </c>
      <c r="F14">
        <v>160</v>
      </c>
      <c r="G14">
        <v>1260</v>
      </c>
      <c r="H14">
        <v>-172</v>
      </c>
      <c r="I14" t="s">
        <v>69</v>
      </c>
      <c r="J14">
        <v>7.08</v>
      </c>
      <c r="K14">
        <v>6</v>
      </c>
      <c r="L14">
        <v>29291.25</v>
      </c>
      <c r="M14">
        <v>29256.25</v>
      </c>
      <c r="N14">
        <v>29221.25</v>
      </c>
      <c r="O14">
        <v>140</v>
      </c>
      <c r="P14">
        <v>140</v>
      </c>
      <c r="Q14">
        <v>29221.25</v>
      </c>
      <c r="R14" s="2">
        <v>140</v>
      </c>
      <c r="S14" t="s">
        <v>83</v>
      </c>
      <c r="T14" t="s">
        <v>71</v>
      </c>
      <c r="U14">
        <v>125</v>
      </c>
      <c r="V14">
        <v>145</v>
      </c>
      <c r="W14" t="s">
        <v>60</v>
      </c>
      <c r="X14" s="8" t="s">
        <v>87</v>
      </c>
      <c r="Y14">
        <v>2316</v>
      </c>
      <c r="Z14">
        <v>22.6111</v>
      </c>
      <c r="AA14" t="s">
        <v>63</v>
      </c>
      <c r="AB14" t="s">
        <v>73</v>
      </c>
      <c r="AC14" t="s">
        <v>62</v>
      </c>
      <c r="AD14" t="s">
        <v>62</v>
      </c>
      <c r="AE14" t="s">
        <v>62</v>
      </c>
      <c r="AF14" t="s">
        <v>62</v>
      </c>
      <c r="AG14" t="s">
        <v>62</v>
      </c>
      <c r="AH14" t="s">
        <v>63</v>
      </c>
      <c r="AI14" t="s">
        <v>62</v>
      </c>
      <c r="AJ14" t="s">
        <v>74</v>
      </c>
      <c r="AK14" t="s">
        <v>63</v>
      </c>
      <c r="AN14">
        <v>0</v>
      </c>
      <c r="AO14" t="s">
        <v>63</v>
      </c>
      <c r="AP14">
        <v>2804</v>
      </c>
      <c r="AQ14">
        <v>-58</v>
      </c>
      <c r="AR14" t="s">
        <v>63</v>
      </c>
      <c r="AS14">
        <v>-114</v>
      </c>
      <c r="AT14" t="s">
        <v>62</v>
      </c>
      <c r="AU14" t="s">
        <v>63</v>
      </c>
      <c r="AV14" t="s">
        <v>75</v>
      </c>
      <c r="AW14" t="s">
        <v>63</v>
      </c>
      <c r="AX14" t="s">
        <v>63</v>
      </c>
      <c r="AY14">
        <v>2080</v>
      </c>
      <c r="AZ14" t="s">
        <v>76</v>
      </c>
      <c r="BA14">
        <v>1998</v>
      </c>
      <c r="BB14">
        <v>2080</v>
      </c>
      <c r="BC14" s="9">
        <v>0.46</v>
      </c>
      <c r="BD14" t="s">
        <v>88</v>
      </c>
    </row>
    <row r="15" spans="1:56" x14ac:dyDescent="0.25">
      <c r="A15" t="s">
        <v>89</v>
      </c>
      <c r="B15">
        <v>28851.25</v>
      </c>
      <c r="C15">
        <v>28943.75</v>
      </c>
      <c r="D15">
        <v>370</v>
      </c>
      <c r="E15">
        <v>28925.42</v>
      </c>
      <c r="F15">
        <v>110</v>
      </c>
      <c r="G15">
        <v>1524</v>
      </c>
      <c r="H15">
        <v>322</v>
      </c>
      <c r="I15" t="s">
        <v>69</v>
      </c>
      <c r="J15">
        <v>5.81</v>
      </c>
      <c r="K15">
        <v>8</v>
      </c>
      <c r="L15">
        <v>28946.25</v>
      </c>
      <c r="M15">
        <v>28971.25</v>
      </c>
      <c r="N15">
        <v>28996.25</v>
      </c>
      <c r="O15">
        <v>100</v>
      </c>
      <c r="P15">
        <v>100</v>
      </c>
      <c r="Q15">
        <v>28996.25</v>
      </c>
      <c r="R15" s="2">
        <v>100</v>
      </c>
      <c r="S15" t="s">
        <v>70</v>
      </c>
      <c r="T15" t="s">
        <v>71</v>
      </c>
      <c r="U15">
        <v>50</v>
      </c>
      <c r="V15">
        <v>100</v>
      </c>
      <c r="W15" t="s">
        <v>60</v>
      </c>
      <c r="X15" s="8" t="s">
        <v>81</v>
      </c>
      <c r="Y15">
        <v>2312</v>
      </c>
      <c r="Z15">
        <v>18.920000000000002</v>
      </c>
      <c r="AA15" t="s">
        <v>63</v>
      </c>
      <c r="AB15" t="s">
        <v>73</v>
      </c>
      <c r="AC15" t="s">
        <v>63</v>
      </c>
      <c r="AD15" t="s">
        <v>62</v>
      </c>
      <c r="AE15" t="s">
        <v>62</v>
      </c>
      <c r="AF15" t="s">
        <v>62</v>
      </c>
      <c r="AG15" t="s">
        <v>62</v>
      </c>
      <c r="AH15" t="s">
        <v>62</v>
      </c>
      <c r="AI15" t="s">
        <v>62</v>
      </c>
      <c r="AJ15" t="s">
        <v>74</v>
      </c>
      <c r="AK15" t="s">
        <v>63</v>
      </c>
      <c r="AN15">
        <v>0</v>
      </c>
      <c r="AO15" t="s">
        <v>63</v>
      </c>
      <c r="AP15">
        <v>4358</v>
      </c>
      <c r="AQ15">
        <v>-32</v>
      </c>
      <c r="AR15" t="s">
        <v>63</v>
      </c>
      <c r="AS15">
        <v>354</v>
      </c>
      <c r="AT15" t="s">
        <v>62</v>
      </c>
      <c r="AU15" t="s">
        <v>63</v>
      </c>
      <c r="AV15" t="s">
        <v>75</v>
      </c>
      <c r="AW15" t="s">
        <v>63</v>
      </c>
      <c r="AX15" t="s">
        <v>63</v>
      </c>
      <c r="AY15">
        <v>409</v>
      </c>
      <c r="AZ15" t="s">
        <v>76</v>
      </c>
      <c r="BA15">
        <v>475</v>
      </c>
      <c r="BB15">
        <v>409</v>
      </c>
      <c r="BC15" s="9">
        <v>0.93</v>
      </c>
      <c r="BD15" t="s">
        <v>85</v>
      </c>
    </row>
    <row r="16" spans="1:56" s="6" customFormat="1" x14ac:dyDescent="0.25">
      <c r="A16" s="6" t="s">
        <v>90</v>
      </c>
      <c r="B16" s="6">
        <v>29070</v>
      </c>
      <c r="C16" s="6">
        <v>29122.5</v>
      </c>
      <c r="D16" s="6">
        <v>210</v>
      </c>
      <c r="E16" s="6">
        <v>29081.21</v>
      </c>
      <c r="F16" s="6">
        <v>40</v>
      </c>
      <c r="G16" s="6">
        <v>807</v>
      </c>
      <c r="H16" s="6">
        <v>-179</v>
      </c>
      <c r="I16" s="6" t="s">
        <v>69</v>
      </c>
      <c r="J16" s="6">
        <v>8.81</v>
      </c>
      <c r="K16" s="6">
        <v>8</v>
      </c>
      <c r="L16" s="6">
        <v>29067.5</v>
      </c>
      <c r="M16" s="6">
        <v>29057.5</v>
      </c>
      <c r="N16" s="6">
        <v>29047.5</v>
      </c>
      <c r="O16" s="6">
        <v>40</v>
      </c>
      <c r="P16" s="6">
        <v>40</v>
      </c>
      <c r="Q16" s="6">
        <v>29067.5</v>
      </c>
      <c r="R16" s="7">
        <v>-40</v>
      </c>
      <c r="S16" s="6" t="s">
        <v>83</v>
      </c>
      <c r="T16" s="6" t="s">
        <v>71</v>
      </c>
      <c r="U16" s="6">
        <v>40</v>
      </c>
      <c r="V16" s="6">
        <v>30</v>
      </c>
      <c r="W16" s="6" t="s">
        <v>60</v>
      </c>
      <c r="X16" s="8" t="s">
        <v>87</v>
      </c>
      <c r="Y16" s="6">
        <v>2316</v>
      </c>
      <c r="Z16" s="6">
        <v>4.5416999999999996</v>
      </c>
      <c r="AA16" s="6" t="s">
        <v>63</v>
      </c>
      <c r="AB16" s="6" t="s">
        <v>73</v>
      </c>
      <c r="AC16" s="6" t="s">
        <v>62</v>
      </c>
      <c r="AD16" s="6" t="s">
        <v>62</v>
      </c>
      <c r="AE16" s="6" t="s">
        <v>62</v>
      </c>
      <c r="AF16" s="6" t="s">
        <v>62</v>
      </c>
      <c r="AG16" s="6" t="s">
        <v>62</v>
      </c>
      <c r="AH16" s="6" t="s">
        <v>62</v>
      </c>
      <c r="AI16" s="6" t="s">
        <v>62</v>
      </c>
      <c r="AJ16" s="6" t="s">
        <v>84</v>
      </c>
      <c r="AK16" s="6" t="s">
        <v>63</v>
      </c>
      <c r="AN16" s="6">
        <v>0</v>
      </c>
      <c r="AO16" s="6" t="s">
        <v>63</v>
      </c>
      <c r="AP16" s="6">
        <v>3478</v>
      </c>
      <c r="AQ16" s="6">
        <v>-486</v>
      </c>
      <c r="AR16" s="6" t="s">
        <v>63</v>
      </c>
      <c r="AS16" s="6">
        <v>307</v>
      </c>
      <c r="AT16" s="6" t="s">
        <v>63</v>
      </c>
      <c r="AU16" s="6" t="s">
        <v>63</v>
      </c>
      <c r="AV16" s="6" t="s">
        <v>75</v>
      </c>
      <c r="AW16" s="6" t="s">
        <v>63</v>
      </c>
      <c r="AX16" s="6" t="s">
        <v>63</v>
      </c>
      <c r="AY16" s="6">
        <v>692</v>
      </c>
      <c r="AZ16" s="6" t="s">
        <v>76</v>
      </c>
      <c r="BA16" s="6">
        <v>633</v>
      </c>
      <c r="BB16" s="6">
        <v>692</v>
      </c>
      <c r="BC16" s="9">
        <v>4.54</v>
      </c>
      <c r="BD16" s="6" t="s">
        <v>85</v>
      </c>
    </row>
    <row r="17" spans="1:56" x14ac:dyDescent="0.25">
      <c r="A17" t="s">
        <v>91</v>
      </c>
      <c r="B17">
        <v>29193.75</v>
      </c>
      <c r="C17">
        <v>29250</v>
      </c>
      <c r="D17">
        <v>225</v>
      </c>
      <c r="R17" s="2" t="s">
        <v>59</v>
      </c>
      <c r="W17" t="s">
        <v>60</v>
      </c>
      <c r="X17" s="8" t="s">
        <v>61</v>
      </c>
      <c r="AG17" t="s">
        <v>62</v>
      </c>
      <c r="AJ17" t="s">
        <v>59</v>
      </c>
      <c r="AK17" t="s">
        <v>63</v>
      </c>
      <c r="AN17">
        <v>0</v>
      </c>
      <c r="AO17" t="s">
        <v>63</v>
      </c>
      <c r="AV17" t="s">
        <v>59</v>
      </c>
      <c r="AW17" t="s">
        <v>63</v>
      </c>
      <c r="AX17" t="s">
        <v>63</v>
      </c>
      <c r="BC17" s="9"/>
    </row>
    <row r="18" spans="1:56" x14ac:dyDescent="0.25">
      <c r="A18" t="s">
        <v>92</v>
      </c>
      <c r="B18">
        <v>29551.25</v>
      </c>
      <c r="C18">
        <v>29620</v>
      </c>
      <c r="D18">
        <v>275</v>
      </c>
      <c r="R18" s="2" t="s">
        <v>59</v>
      </c>
      <c r="W18" t="s">
        <v>60</v>
      </c>
      <c r="X18" s="8" t="s">
        <v>61</v>
      </c>
      <c r="AG18" t="s">
        <v>62</v>
      </c>
      <c r="AJ18" t="s">
        <v>59</v>
      </c>
      <c r="AK18" t="s">
        <v>63</v>
      </c>
      <c r="AN18">
        <v>0</v>
      </c>
      <c r="AO18" t="s">
        <v>63</v>
      </c>
      <c r="AV18" t="s">
        <v>59</v>
      </c>
      <c r="AW18" t="s">
        <v>63</v>
      </c>
      <c r="AX18" t="s">
        <v>63</v>
      </c>
      <c r="BC18" s="9"/>
    </row>
    <row r="19" spans="1:56" x14ac:dyDescent="0.25">
      <c r="A19" t="s">
        <v>93</v>
      </c>
      <c r="B19">
        <v>29940</v>
      </c>
      <c r="C19">
        <v>29948.75</v>
      </c>
      <c r="D19">
        <v>35</v>
      </c>
      <c r="R19" s="2" t="s">
        <v>59</v>
      </c>
      <c r="W19" t="s">
        <v>60</v>
      </c>
      <c r="X19" s="8" t="s">
        <v>61</v>
      </c>
      <c r="AG19" t="s">
        <v>62</v>
      </c>
      <c r="AJ19" t="s">
        <v>59</v>
      </c>
      <c r="AK19" t="s">
        <v>63</v>
      </c>
      <c r="AN19">
        <v>0</v>
      </c>
      <c r="AO19" t="s">
        <v>63</v>
      </c>
      <c r="AV19" t="s">
        <v>59</v>
      </c>
      <c r="AW19" t="s">
        <v>63</v>
      </c>
      <c r="AX19" t="s">
        <v>63</v>
      </c>
      <c r="BC19" s="9"/>
    </row>
    <row r="20" spans="1:56" s="6" customFormat="1" x14ac:dyDescent="0.25">
      <c r="A20" s="6" t="s">
        <v>94</v>
      </c>
      <c r="B20" s="6">
        <v>29880</v>
      </c>
      <c r="C20" s="6">
        <v>29935</v>
      </c>
      <c r="D20" s="6">
        <v>220</v>
      </c>
      <c r="E20" s="6">
        <v>29859.58</v>
      </c>
      <c r="F20" s="6">
        <v>65</v>
      </c>
      <c r="G20" s="6">
        <v>899</v>
      </c>
      <c r="H20" s="6">
        <v>-93</v>
      </c>
      <c r="I20" s="6" t="s">
        <v>69</v>
      </c>
      <c r="J20" s="6">
        <v>5.1100000000000003</v>
      </c>
      <c r="K20" s="6">
        <v>8</v>
      </c>
      <c r="L20" s="6">
        <v>29851.25</v>
      </c>
      <c r="M20" s="6">
        <v>29837.5</v>
      </c>
      <c r="N20" s="6">
        <v>29823.75</v>
      </c>
      <c r="O20" s="6">
        <v>55</v>
      </c>
      <c r="P20" s="6">
        <v>55</v>
      </c>
      <c r="Q20" s="6">
        <v>29851.25</v>
      </c>
      <c r="R20" s="7">
        <v>-55</v>
      </c>
      <c r="S20" s="6" t="s">
        <v>83</v>
      </c>
      <c r="T20" s="6" t="s">
        <v>71</v>
      </c>
      <c r="U20" s="6">
        <v>55</v>
      </c>
      <c r="V20" s="6">
        <v>40</v>
      </c>
      <c r="W20" s="6" t="s">
        <v>60</v>
      </c>
      <c r="X20" s="8" t="s">
        <v>95</v>
      </c>
      <c r="Y20" s="6">
        <v>2075</v>
      </c>
      <c r="Z20" s="6">
        <v>12.709300000000001</v>
      </c>
      <c r="AA20" s="6" t="s">
        <v>63</v>
      </c>
      <c r="AB20" s="6" t="s">
        <v>73</v>
      </c>
      <c r="AC20" s="6" t="s">
        <v>62</v>
      </c>
      <c r="AD20" s="6" t="s">
        <v>62</v>
      </c>
      <c r="AE20" s="6" t="s">
        <v>62</v>
      </c>
      <c r="AF20" s="6" t="s">
        <v>62</v>
      </c>
      <c r="AG20" s="6" t="s">
        <v>62</v>
      </c>
      <c r="AH20" s="6" t="s">
        <v>62</v>
      </c>
      <c r="AI20" s="6" t="s">
        <v>62</v>
      </c>
      <c r="AJ20" s="6" t="s">
        <v>84</v>
      </c>
      <c r="AK20" s="6" t="s">
        <v>63</v>
      </c>
      <c r="AN20" s="6">
        <v>0</v>
      </c>
      <c r="AO20" s="6" t="s">
        <v>63</v>
      </c>
      <c r="AP20" s="6">
        <v>2999</v>
      </c>
      <c r="AQ20" s="6">
        <v>-267</v>
      </c>
      <c r="AR20" s="6" t="s">
        <v>63</v>
      </c>
      <c r="AS20" s="6">
        <v>174</v>
      </c>
      <c r="AT20" s="6" t="s">
        <v>63</v>
      </c>
      <c r="AU20" s="6" t="s">
        <v>63</v>
      </c>
      <c r="AV20" s="6" t="s">
        <v>75</v>
      </c>
      <c r="AW20" s="6" t="s">
        <v>63</v>
      </c>
      <c r="AX20" s="6" t="s">
        <v>63</v>
      </c>
      <c r="AY20" s="6">
        <v>22</v>
      </c>
      <c r="AZ20" s="6" t="s">
        <v>76</v>
      </c>
      <c r="BA20" s="6">
        <v>-213</v>
      </c>
      <c r="BB20" s="6">
        <v>22</v>
      </c>
      <c r="BC20" s="9">
        <v>2.61</v>
      </c>
      <c r="BD20" s="6" t="s">
        <v>85</v>
      </c>
    </row>
    <row r="21" spans="1:56" x14ac:dyDescent="0.25">
      <c r="A21" t="s">
        <v>96</v>
      </c>
      <c r="B21">
        <v>30133.75</v>
      </c>
      <c r="C21">
        <v>30192.5</v>
      </c>
      <c r="D21">
        <v>235</v>
      </c>
      <c r="E21">
        <v>30205.98</v>
      </c>
      <c r="F21">
        <v>90</v>
      </c>
      <c r="G21">
        <v>3195</v>
      </c>
      <c r="H21">
        <v>-979</v>
      </c>
      <c r="I21" t="s">
        <v>97</v>
      </c>
      <c r="J21">
        <v>2.25</v>
      </c>
      <c r="K21">
        <v>8</v>
      </c>
      <c r="L21">
        <v>30133.75</v>
      </c>
      <c r="M21">
        <v>30111.25</v>
      </c>
      <c r="N21">
        <v>30088.75</v>
      </c>
      <c r="O21">
        <v>90</v>
      </c>
      <c r="P21">
        <v>90</v>
      </c>
      <c r="Q21">
        <v>30088.75</v>
      </c>
      <c r="R21" s="2">
        <v>90</v>
      </c>
      <c r="S21" t="s">
        <v>83</v>
      </c>
      <c r="T21" t="s">
        <v>98</v>
      </c>
      <c r="U21">
        <v>80</v>
      </c>
      <c r="V21">
        <v>90</v>
      </c>
      <c r="W21" t="s">
        <v>60</v>
      </c>
      <c r="X21" s="8" t="s">
        <v>95</v>
      </c>
      <c r="Y21">
        <v>2315</v>
      </c>
      <c r="Z21">
        <v>39.956000000000003</v>
      </c>
      <c r="AA21" t="s">
        <v>63</v>
      </c>
      <c r="AB21" t="s">
        <v>73</v>
      </c>
      <c r="AC21" t="s">
        <v>62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62</v>
      </c>
      <c r="AJ21" t="s">
        <v>74</v>
      </c>
      <c r="AK21" t="s">
        <v>63</v>
      </c>
      <c r="AN21">
        <v>0</v>
      </c>
      <c r="AO21" t="s">
        <v>63</v>
      </c>
      <c r="AP21">
        <v>2162</v>
      </c>
      <c r="AQ21">
        <v>-116</v>
      </c>
      <c r="AR21" t="s">
        <v>62</v>
      </c>
      <c r="AS21">
        <v>-863</v>
      </c>
      <c r="AT21" t="s">
        <v>62</v>
      </c>
      <c r="AU21" t="s">
        <v>63</v>
      </c>
      <c r="AV21" t="s">
        <v>75</v>
      </c>
      <c r="AW21" t="s">
        <v>63</v>
      </c>
      <c r="AX21" t="s">
        <v>63</v>
      </c>
      <c r="AY21">
        <v>-2867</v>
      </c>
      <c r="AZ21" t="s">
        <v>76</v>
      </c>
      <c r="BA21">
        <v>-2867</v>
      </c>
      <c r="BB21">
        <v>-2867</v>
      </c>
      <c r="BC21" s="9">
        <v>0</v>
      </c>
      <c r="BD21" t="s">
        <v>77</v>
      </c>
    </row>
    <row r="22" spans="1:56" x14ac:dyDescent="0.25">
      <c r="A22" t="s">
        <v>99</v>
      </c>
      <c r="B22">
        <v>30052.5</v>
      </c>
      <c r="C22">
        <v>30107.5</v>
      </c>
      <c r="D22">
        <v>220</v>
      </c>
      <c r="R22" s="2" t="s">
        <v>59</v>
      </c>
      <c r="W22" t="s">
        <v>60</v>
      </c>
      <c r="X22" s="8" t="s">
        <v>61</v>
      </c>
      <c r="AG22" t="s">
        <v>62</v>
      </c>
      <c r="AJ22" t="s">
        <v>59</v>
      </c>
      <c r="AK22" t="s">
        <v>63</v>
      </c>
      <c r="AN22">
        <v>0</v>
      </c>
      <c r="AO22" t="s">
        <v>63</v>
      </c>
      <c r="AV22" t="s">
        <v>59</v>
      </c>
      <c r="AW22" t="s">
        <v>63</v>
      </c>
      <c r="AX22" t="s">
        <v>63</v>
      </c>
      <c r="BC22" s="9"/>
    </row>
    <row r="23" spans="1:56" x14ac:dyDescent="0.25">
      <c r="A23" t="s">
        <v>100</v>
      </c>
      <c r="B23">
        <v>30365</v>
      </c>
      <c r="C23">
        <v>30405</v>
      </c>
      <c r="D23">
        <v>160</v>
      </c>
      <c r="E23">
        <v>30336.91</v>
      </c>
      <c r="F23">
        <v>25</v>
      </c>
      <c r="G23">
        <v>975</v>
      </c>
      <c r="H23">
        <v>477</v>
      </c>
      <c r="I23" t="s">
        <v>69</v>
      </c>
      <c r="J23">
        <v>5.42</v>
      </c>
      <c r="K23">
        <v>11</v>
      </c>
      <c r="L23">
        <v>30437.5</v>
      </c>
      <c r="M23">
        <v>30422.5</v>
      </c>
      <c r="N23">
        <v>30407.5</v>
      </c>
      <c r="O23">
        <v>60</v>
      </c>
      <c r="P23">
        <v>60</v>
      </c>
      <c r="Q23">
        <v>30407.5</v>
      </c>
      <c r="R23" s="2">
        <v>60</v>
      </c>
      <c r="S23" t="s">
        <v>83</v>
      </c>
      <c r="T23" t="s">
        <v>71</v>
      </c>
      <c r="U23">
        <v>5</v>
      </c>
      <c r="V23">
        <v>65</v>
      </c>
      <c r="W23" t="s">
        <v>60</v>
      </c>
      <c r="X23" s="8" t="s">
        <v>81</v>
      </c>
      <c r="Y23">
        <v>2312</v>
      </c>
      <c r="Z23">
        <v>4.6154000000000002</v>
      </c>
      <c r="AA23" t="s">
        <v>63</v>
      </c>
      <c r="AB23" t="s">
        <v>73</v>
      </c>
      <c r="AC23" t="s">
        <v>62</v>
      </c>
      <c r="AD23" t="s">
        <v>62</v>
      </c>
      <c r="AE23" t="s">
        <v>62</v>
      </c>
      <c r="AF23" t="s">
        <v>62</v>
      </c>
      <c r="AG23" t="s">
        <v>62</v>
      </c>
      <c r="AH23" t="s">
        <v>62</v>
      </c>
      <c r="AI23" t="s">
        <v>62</v>
      </c>
      <c r="AJ23" t="s">
        <v>74</v>
      </c>
      <c r="AK23" t="s">
        <v>62</v>
      </c>
      <c r="AL23" t="s">
        <v>70</v>
      </c>
      <c r="AM23">
        <v>30425</v>
      </c>
      <c r="AN23">
        <v>3</v>
      </c>
      <c r="AO23" t="s">
        <v>63</v>
      </c>
      <c r="AP23">
        <v>3724</v>
      </c>
      <c r="AQ23">
        <v>166</v>
      </c>
      <c r="AR23" t="s">
        <v>63</v>
      </c>
      <c r="AS23">
        <v>311</v>
      </c>
      <c r="AT23" t="s">
        <v>62</v>
      </c>
      <c r="AU23" t="s">
        <v>63</v>
      </c>
      <c r="AV23" t="s">
        <v>101</v>
      </c>
      <c r="AW23" t="s">
        <v>62</v>
      </c>
      <c r="AX23" t="s">
        <v>63</v>
      </c>
      <c r="AY23">
        <v>2883</v>
      </c>
      <c r="AZ23" t="s">
        <v>76</v>
      </c>
      <c r="BA23">
        <v>2883</v>
      </c>
      <c r="BB23">
        <v>2883</v>
      </c>
      <c r="BC23" s="9">
        <v>0</v>
      </c>
      <c r="BD23" t="s">
        <v>77</v>
      </c>
    </row>
    <row r="24" spans="1:56" x14ac:dyDescent="0.25">
      <c r="A24" t="s">
        <v>102</v>
      </c>
      <c r="B24">
        <v>30311.25</v>
      </c>
      <c r="C24">
        <v>30370</v>
      </c>
      <c r="D24">
        <v>235</v>
      </c>
      <c r="R24" s="2" t="s">
        <v>59</v>
      </c>
      <c r="W24" t="s">
        <v>60</v>
      </c>
      <c r="X24" s="8" t="s">
        <v>61</v>
      </c>
      <c r="AG24" t="s">
        <v>62</v>
      </c>
      <c r="AJ24" t="s">
        <v>59</v>
      </c>
      <c r="AK24" t="s">
        <v>63</v>
      </c>
      <c r="AN24">
        <v>0</v>
      </c>
      <c r="AO24" t="s">
        <v>63</v>
      </c>
      <c r="AV24" t="s">
        <v>59</v>
      </c>
      <c r="AW24" t="s">
        <v>63</v>
      </c>
      <c r="AX24" t="s">
        <v>63</v>
      </c>
      <c r="BC24" s="9"/>
    </row>
    <row r="25" spans="1:56" x14ac:dyDescent="0.25">
      <c r="A25" t="s">
        <v>103</v>
      </c>
      <c r="B25">
        <v>30497.5</v>
      </c>
      <c r="C25">
        <v>30568.75</v>
      </c>
      <c r="D25">
        <v>285</v>
      </c>
      <c r="R25" s="2" t="s">
        <v>59</v>
      </c>
      <c r="W25" t="s">
        <v>60</v>
      </c>
      <c r="X25" s="8" t="s">
        <v>61</v>
      </c>
      <c r="AG25" t="s">
        <v>62</v>
      </c>
      <c r="AJ25" t="s">
        <v>59</v>
      </c>
      <c r="AK25" t="s">
        <v>63</v>
      </c>
      <c r="AN25">
        <v>0</v>
      </c>
      <c r="AO25" t="s">
        <v>63</v>
      </c>
      <c r="AV25" t="s">
        <v>59</v>
      </c>
      <c r="AW25" t="s">
        <v>63</v>
      </c>
      <c r="AX25" t="s">
        <v>63</v>
      </c>
      <c r="BC25" s="9"/>
    </row>
    <row r="26" spans="1:56" x14ac:dyDescent="0.25">
      <c r="A26" t="s">
        <v>104</v>
      </c>
      <c r="B26">
        <v>30755</v>
      </c>
      <c r="C26">
        <v>30792.5</v>
      </c>
      <c r="D26">
        <v>150</v>
      </c>
      <c r="R26" s="2" t="s">
        <v>59</v>
      </c>
      <c r="W26" t="s">
        <v>60</v>
      </c>
      <c r="X26" s="8" t="s">
        <v>61</v>
      </c>
      <c r="AG26" t="s">
        <v>62</v>
      </c>
      <c r="AJ26" t="s">
        <v>59</v>
      </c>
      <c r="AK26" t="s">
        <v>63</v>
      </c>
      <c r="AN26">
        <v>0</v>
      </c>
      <c r="AO26" t="s">
        <v>63</v>
      </c>
      <c r="AV26" t="s">
        <v>59</v>
      </c>
      <c r="AW26" t="s">
        <v>63</v>
      </c>
      <c r="AX26" t="s">
        <v>63</v>
      </c>
      <c r="BC26" s="9"/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1B76-713C-476E-9459-48EB3D21586D}">
  <dimension ref="A1"/>
  <sheetViews>
    <sheetView topLeftCell="A4" workbookViewId="0">
      <selection activeCell="D22" sqref="D2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</cp:lastModifiedBy>
  <dcterms:created xsi:type="dcterms:W3CDTF">2026-05-30T00:52:24Z</dcterms:created>
  <dcterms:modified xsi:type="dcterms:W3CDTF">2026-06-18T03:56:54Z</dcterms:modified>
</cp:coreProperties>
</file>