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_99_\Desktop\codding\OpeningRangeSetup\OpeningRangeSetup\EddiewareOpeningRangeSetup\EddiewareOpeningRangeSetup\"/>
    </mc:Choice>
  </mc:AlternateContent>
  <xr:revisionPtr revIDLastSave="0" documentId="13_ncr:1_{75D769F9-D862-48B5-8532-810C7090B996}" xr6:coauthVersionLast="47" xr6:coauthVersionMax="47" xr10:uidLastSave="{00000000-0000-0000-0000-000000000000}"/>
  <bookViews>
    <workbookView xWindow="1560" yWindow="1560" windowWidth="18900" windowHeight="10965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A2" i="1"/>
</calcChain>
</file>

<file path=xl/sharedStrings.xml><?xml version="1.0" encoding="utf-8"?>
<sst xmlns="http://schemas.openxmlformats.org/spreadsheetml/2006/main" count="87" uniqueCount="55">
  <si>
    <t>win rate</t>
  </si>
  <si>
    <t>profit factor</t>
  </si>
  <si>
    <t>fecha</t>
  </si>
  <si>
    <t>or_low</t>
  </si>
  <si>
    <t>or_high</t>
  </si>
  <si>
    <t>range</t>
  </si>
  <si>
    <t>VWAP_entry</t>
  </si>
  <si>
    <t>Body</t>
  </si>
  <si>
    <t>Volume_entry</t>
  </si>
  <si>
    <t>Delta_entry</t>
  </si>
  <si>
    <t>BreakOut_SPEED</t>
  </si>
  <si>
    <t>BreakOut_TICKS_PER_SEC</t>
  </si>
  <si>
    <t>score total</t>
  </si>
  <si>
    <t>SL_price</t>
  </si>
  <si>
    <t>Entry_price</t>
  </si>
  <si>
    <t>TP_price</t>
  </si>
  <si>
    <t>SL_ticks</t>
  </si>
  <si>
    <t>TP_ticks</t>
  </si>
  <si>
    <t>result TP SL BE</t>
  </si>
  <si>
    <t>Side</t>
  </si>
  <si>
    <t>Speed_Profile</t>
  </si>
  <si>
    <t>MAE_ticks</t>
  </si>
  <si>
    <t>MFE_ticks</t>
  </si>
  <si>
    <t>Exporter_VERSION</t>
  </si>
  <si>
    <t>EntryTime_NY</t>
  </si>
  <si>
    <t>EntryBar</t>
  </si>
  <si>
    <t>Speed_Elapsed_SECONDS</t>
  </si>
  <si>
    <t>Speed_Replay_Fallback</t>
  </si>
  <si>
    <t>Speed_Timing_Source</t>
  </si>
  <si>
    <t>Range_OK</t>
  </si>
  <si>
    <t>Body_OK</t>
  </si>
  <si>
    <t>Volume_OK</t>
  </si>
  <si>
    <t>Delta_OK</t>
  </si>
  <si>
    <t>Time_OK</t>
  </si>
  <si>
    <t>VWAP_OK</t>
  </si>
  <si>
    <t>Speed_OK</t>
  </si>
  <si>
    <t>Result_Label</t>
  </si>
  <si>
    <t>Exit_price</t>
  </si>
  <si>
    <t>2026-05-13</t>
  </si>
  <si>
    <t>normal speed</t>
  </si>
  <si>
    <t>SELL</t>
  </si>
  <si>
    <t>SELL1</t>
  </si>
  <si>
    <t>score-exporter-2026-05-25-fast-exit-half-mfe</t>
  </si>
  <si>
    <t>09:31:00</t>
  </si>
  <si>
    <t>FALSE</t>
  </si>
  <si>
    <t>LastTime</t>
  </si>
  <si>
    <t>TRUE</t>
  </si>
  <si>
    <t>EXIT</t>
  </si>
  <si>
    <t>2026-05-14</t>
  </si>
  <si>
    <t>A+ speed</t>
  </si>
  <si>
    <t>BUY</t>
  </si>
  <si>
    <t>09:32:00</t>
  </si>
  <si>
    <t>TP</t>
  </si>
  <si>
    <t>2026-05-15</t>
  </si>
  <si>
    <t>validar 21-05-2026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</si>
</sst>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##;\-0.##;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2" fontId="0" fillId="0" borderId="0" xfId="0" applyNumberFormat="1"/>
    <xf numFmtId="0" fontId="1" fillId="2" borderId="0" xfId="0" applyFont="1" applyFill="1"/>
    <xf numFmtId="16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1"/>
  <sheetViews>
    <sheetView tabSelected="1" workbookViewId="0">
      <selection activeCell="F11" sqref="F11"/>
    </sheetView>
  </sheetViews>
  <sheetFormatPr baseColWidth="10" defaultColWidth="9.140625" defaultRowHeight="15" x14ac:dyDescent="0.25"/>
  <cols>
    <col min="1" max="3" width="12" customWidth="1"/>
    <col min="4" max="4" width="10" customWidth="1"/>
    <col min="5" max="5" width="14" customWidth="1"/>
    <col min="6" max="6" width="10" customWidth="1"/>
    <col min="7" max="8" width="14" customWidth="1"/>
    <col min="9" max="12" width="12" customWidth="1"/>
    <col min="13" max="13" width="16" customWidth="1"/>
    <col min="14" max="17" width="10" customWidth="1"/>
  </cols>
  <sheetData>
    <row r="1" spans="1:36" x14ac:dyDescent="0.25">
      <c r="A1" t="s">
        <v>0</v>
      </c>
      <c r="B1" t="s">
        <v>1</v>
      </c>
    </row>
    <row r="2" spans="1:36" x14ac:dyDescent="0.25">
      <c r="A2" s="1">
        <f>IF((COUNTIF(Q4:Q6,"&gt;0")+COUNTIF(Q4:Q6,"&lt;0"))=0,"",COUNTIF(Q4:Q6,"&gt;0")/(COUNTIF(Q4:Q6,"&gt;0")+COUNTIF(Q4:Q6,"&lt;0")))</f>
        <v>1</v>
      </c>
      <c r="B2" s="2" t="str">
        <f>IF(ABS(SUMIF(Q4:Q6,"&lt;0",Q4:Q6))=0,IF(SUMIF(Q4:Q6,"&gt;0",Q4:Q6)&gt;0,"INF",""),SUMIF(Q4:Q6,"&gt;0",Q4:Q6)/ABS(SUMIF(Q4:Q6,"&lt;0",Q4:Q6)))</f>
        <v>INF</v>
      </c>
    </row>
    <row r="3" spans="1:36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25</v>
      </c>
      <c r="Y3" s="3" t="s">
        <v>26</v>
      </c>
      <c r="Z3" s="3" t="s">
        <v>27</v>
      </c>
      <c r="AA3" s="3" t="s">
        <v>28</v>
      </c>
      <c r="AB3" s="3" t="s">
        <v>29</v>
      </c>
      <c r="AC3" s="3" t="s">
        <v>30</v>
      </c>
      <c r="AD3" s="3" t="s">
        <v>31</v>
      </c>
      <c r="AE3" s="3" t="s">
        <v>32</v>
      </c>
      <c r="AF3" s="3" t="s">
        <v>33</v>
      </c>
      <c r="AG3" s="3" t="s">
        <v>34</v>
      </c>
      <c r="AH3" s="3" t="s">
        <v>35</v>
      </c>
      <c r="AI3" s="3" t="s">
        <v>36</v>
      </c>
      <c r="AJ3" s="3" t="s">
        <v>37</v>
      </c>
    </row>
    <row r="4" spans="1:36" x14ac:dyDescent="0.25">
      <c r="A4" t="s">
        <v>38</v>
      </c>
      <c r="B4">
        <v>29252.5</v>
      </c>
      <c r="C4">
        <v>29288.75</v>
      </c>
      <c r="D4">
        <v>145</v>
      </c>
      <c r="E4">
        <v>29321.360000000001</v>
      </c>
      <c r="F4">
        <v>35</v>
      </c>
      <c r="G4">
        <v>1113</v>
      </c>
      <c r="H4">
        <v>-175</v>
      </c>
      <c r="I4" t="s">
        <v>39</v>
      </c>
      <c r="J4">
        <v>2.08</v>
      </c>
      <c r="K4">
        <v>7</v>
      </c>
      <c r="L4">
        <v>29258.75</v>
      </c>
      <c r="M4">
        <v>29243.75</v>
      </c>
      <c r="N4">
        <v>29213.75</v>
      </c>
      <c r="O4">
        <v>60</v>
      </c>
      <c r="P4">
        <v>120</v>
      </c>
      <c r="Q4" s="4">
        <v>30</v>
      </c>
      <c r="R4" t="s">
        <v>40</v>
      </c>
      <c r="S4" t="s">
        <v>41</v>
      </c>
      <c r="T4">
        <v>0</v>
      </c>
      <c r="U4">
        <v>60</v>
      </c>
      <c r="V4" t="s">
        <v>42</v>
      </c>
      <c r="W4" t="s">
        <v>43</v>
      </c>
      <c r="X4">
        <v>2311</v>
      </c>
      <c r="Y4">
        <v>16.8109</v>
      </c>
      <c r="Z4" t="s">
        <v>44</v>
      </c>
      <c r="AA4" t="s">
        <v>45</v>
      </c>
      <c r="AB4" t="s">
        <v>46</v>
      </c>
      <c r="AC4" t="s">
        <v>46</v>
      </c>
      <c r="AD4" t="s">
        <v>46</v>
      </c>
      <c r="AE4" t="s">
        <v>46</v>
      </c>
      <c r="AF4" t="s">
        <v>46</v>
      </c>
      <c r="AG4" t="s">
        <v>46</v>
      </c>
      <c r="AH4" t="s">
        <v>46</v>
      </c>
      <c r="AI4" t="s">
        <v>47</v>
      </c>
      <c r="AJ4">
        <v>29236.25</v>
      </c>
    </row>
    <row r="5" spans="1:36" x14ac:dyDescent="0.25">
      <c r="A5" t="s">
        <v>48</v>
      </c>
      <c r="B5">
        <v>29460</v>
      </c>
      <c r="C5">
        <v>29492.5</v>
      </c>
      <c r="D5">
        <v>130</v>
      </c>
      <c r="E5">
        <v>29543.51</v>
      </c>
      <c r="F5">
        <v>65</v>
      </c>
      <c r="G5">
        <v>802</v>
      </c>
      <c r="H5">
        <v>262</v>
      </c>
      <c r="I5" t="s">
        <v>49</v>
      </c>
      <c r="J5">
        <v>10.97</v>
      </c>
      <c r="K5">
        <v>5</v>
      </c>
      <c r="L5">
        <v>29490</v>
      </c>
      <c r="M5">
        <v>29515</v>
      </c>
      <c r="N5">
        <v>29545</v>
      </c>
      <c r="O5">
        <v>100</v>
      </c>
      <c r="P5">
        <v>120</v>
      </c>
      <c r="Q5" s="4">
        <v>120</v>
      </c>
      <c r="R5" t="s">
        <v>50</v>
      </c>
      <c r="S5" t="s">
        <v>50</v>
      </c>
      <c r="T5">
        <v>25</v>
      </c>
      <c r="U5">
        <v>120</v>
      </c>
      <c r="V5" t="s">
        <v>42</v>
      </c>
      <c r="W5" t="s">
        <v>51</v>
      </c>
      <c r="X5">
        <v>2312</v>
      </c>
      <c r="Y5">
        <v>5.9246999999999996</v>
      </c>
      <c r="Z5" t="s">
        <v>44</v>
      </c>
      <c r="AA5" t="s">
        <v>45</v>
      </c>
      <c r="AB5" t="s">
        <v>46</v>
      </c>
      <c r="AC5" t="s">
        <v>46</v>
      </c>
      <c r="AD5" t="s">
        <v>46</v>
      </c>
      <c r="AE5" t="s">
        <v>46</v>
      </c>
      <c r="AF5" t="s">
        <v>46</v>
      </c>
      <c r="AG5" t="s">
        <v>44</v>
      </c>
      <c r="AH5" t="s">
        <v>46</v>
      </c>
      <c r="AI5" t="s">
        <v>52</v>
      </c>
      <c r="AJ5">
        <v>29545</v>
      </c>
    </row>
    <row r="6" spans="1:36" x14ac:dyDescent="0.25">
      <c r="A6" t="s">
        <v>53</v>
      </c>
      <c r="B6">
        <v>29241.25</v>
      </c>
      <c r="C6">
        <v>29291.25</v>
      </c>
      <c r="D6">
        <v>200</v>
      </c>
      <c r="E6">
        <v>29294.959999999999</v>
      </c>
      <c r="F6">
        <v>10</v>
      </c>
      <c r="G6">
        <v>367</v>
      </c>
      <c r="H6">
        <v>-145</v>
      </c>
      <c r="I6" t="s">
        <v>39</v>
      </c>
      <c r="J6">
        <v>4.6399999999999997</v>
      </c>
      <c r="K6">
        <v>6</v>
      </c>
      <c r="L6">
        <v>29253.75</v>
      </c>
      <c r="M6">
        <v>29238.75</v>
      </c>
      <c r="N6">
        <v>29208.75</v>
      </c>
      <c r="O6">
        <v>60</v>
      </c>
      <c r="P6">
        <v>120</v>
      </c>
      <c r="Q6" s="4">
        <v>120</v>
      </c>
      <c r="R6" t="s">
        <v>40</v>
      </c>
      <c r="S6" t="s">
        <v>41</v>
      </c>
      <c r="T6">
        <v>5</v>
      </c>
      <c r="U6">
        <v>130</v>
      </c>
      <c r="V6" t="s">
        <v>42</v>
      </c>
      <c r="W6" t="s">
        <v>43</v>
      </c>
      <c r="X6">
        <v>2311</v>
      </c>
      <c r="Y6">
        <v>2.1573000000000002</v>
      </c>
      <c r="Z6" t="s">
        <v>44</v>
      </c>
      <c r="AA6" t="s">
        <v>45</v>
      </c>
      <c r="AB6" t="s">
        <v>46</v>
      </c>
      <c r="AC6" t="s">
        <v>46</v>
      </c>
      <c r="AD6" t="s">
        <v>44</v>
      </c>
      <c r="AE6" t="s">
        <v>46</v>
      </c>
      <c r="AF6" t="s">
        <v>46</v>
      </c>
      <c r="AG6" t="s">
        <v>46</v>
      </c>
      <c r="AH6" t="s">
        <v>46</v>
      </c>
      <c r="AI6" t="s">
        <v>52</v>
      </c>
      <c r="AJ6">
        <v>29208.75</v>
      </c>
    </row>
    <row r="7" spans="1:36" x14ac:dyDescent="0.25">
      <c r="A7" t="s">
        <v>54</v>
      </c>
      <c r="Q7" s="4"/>
    </row>
    <row r="8" spans="1:36" x14ac:dyDescent="0.25">
      <c r="Q8" s="4"/>
    </row>
    <row r="11" spans="1:36" x14ac:dyDescent="0.25">
      <c r="F11" s="5"/>
    </row>
  </sheetData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</cp:lastModifiedBy>
  <dcterms:created xsi:type="dcterms:W3CDTF">2026-05-23T01:33:49Z</dcterms:created>
  <dcterms:modified xsi:type="dcterms:W3CDTF">2026-05-25T22:17:45Z</dcterms:modified>
</cp:coreProperties>
</file>